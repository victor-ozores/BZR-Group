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CTOR\Desktop\Workspaces\BZR Group\"/>
    </mc:Choice>
  </mc:AlternateContent>
  <xr:revisionPtr revIDLastSave="0" documentId="13_ncr:1_{4C2047EE-BCFD-47CD-AFCF-5EED10DBA0A9}" xr6:coauthVersionLast="47" xr6:coauthVersionMax="47" xr10:uidLastSave="{00000000-0000-0000-0000-000000000000}"/>
  <bookViews>
    <workbookView xWindow="-110" yWindow="-110" windowWidth="25820" windowHeight="13900" firstSheet="1" activeTab="5" xr2:uid="{00000000-000D-0000-FFFF-FFFF00000000}"/>
  </bookViews>
  <sheets>
    <sheet name="Questions" sheetId="1" r:id="rId1"/>
    <sheet name="Q1 - Summary" sheetId="3" r:id="rId2"/>
    <sheet name="Q2 - Canal" sheetId="7" r:id="rId3"/>
    <sheet name="Q3" sheetId="4" r:id="rId4"/>
    <sheet name="Q4 - Qualidade de Dados" sheetId="8" r:id="rId5"/>
    <sheet name="Cálculos" sheetId="9" r:id="rId6"/>
    <sheet name="Lookup_PropertyType" sheetId="6" r:id="rId7"/>
    <sheet name="DataBase" sheetId="2" r:id="rId8"/>
    <sheet name="AI_Log" sheetId="5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9" l="1"/>
  <c r="C7" i="3"/>
  <c r="C8" i="3" s="1"/>
  <c r="D30" i="9"/>
  <c r="D29" i="9"/>
  <c r="D28" i="9"/>
  <c r="D27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0" i="9"/>
  <c r="D9" i="9"/>
  <c r="D8" i="9"/>
  <c r="D7" i="9"/>
  <c r="E7" i="9"/>
  <c r="H26" i="9"/>
  <c r="E23" i="9"/>
  <c r="H23" i="9" s="1"/>
  <c r="E10" i="9"/>
  <c r="H10" i="9" s="1"/>
  <c r="C9" i="8"/>
  <c r="C8" i="8"/>
  <c r="C7" i="8"/>
  <c r="C6" i="8"/>
  <c r="C5" i="8"/>
  <c r="C3" i="8"/>
  <c r="D9" i="7"/>
  <c r="C9" i="7"/>
  <c r="D8" i="7"/>
  <c r="C8" i="7"/>
  <c r="F8" i="7" s="1"/>
  <c r="D7" i="7"/>
  <c r="C7" i="7"/>
  <c r="F7" i="7" s="1"/>
  <c r="D6" i="7"/>
  <c r="C6" i="7"/>
  <c r="F6" i="7" s="1"/>
  <c r="D5" i="7"/>
  <c r="C5" i="7"/>
  <c r="F5" i="7" s="1"/>
  <c r="D4" i="7"/>
  <c r="C4" i="7"/>
  <c r="F4" i="7" s="1"/>
  <c r="D3" i="7"/>
  <c r="C3" i="7"/>
  <c r="G16" i="3"/>
  <c r="G17" i="3" s="1"/>
  <c r="F16" i="3"/>
  <c r="F17" i="3" s="1"/>
  <c r="E16" i="3"/>
  <c r="E17" i="3" s="1"/>
  <c r="D16" i="3"/>
  <c r="D17" i="3" s="1"/>
  <c r="C16" i="3"/>
  <c r="G13" i="3"/>
  <c r="G14" i="3" s="1"/>
  <c r="F13" i="3"/>
  <c r="F14" i="3" s="1"/>
  <c r="E13" i="3"/>
  <c r="E14" i="3" s="1"/>
  <c r="D13" i="3"/>
  <c r="D14" i="3" s="1"/>
  <c r="C13" i="3"/>
  <c r="C14" i="3" s="1"/>
  <c r="G11" i="3"/>
  <c r="G12" i="3" s="1"/>
  <c r="F11" i="3"/>
  <c r="F12" i="3" s="1"/>
  <c r="E11" i="3"/>
  <c r="E12" i="3" s="1"/>
  <c r="D11" i="3"/>
  <c r="D12" i="3" s="1"/>
  <c r="C11" i="3"/>
  <c r="C12" i="3" s="1"/>
  <c r="G9" i="3"/>
  <c r="G10" i="3" s="1"/>
  <c r="F9" i="3"/>
  <c r="F10" i="3" s="1"/>
  <c r="E9" i="3"/>
  <c r="E10" i="3" s="1"/>
  <c r="D9" i="3"/>
  <c r="D10" i="3" s="1"/>
  <c r="C9" i="3"/>
  <c r="C10" i="3" s="1"/>
  <c r="G7" i="3"/>
  <c r="G8" i="3" s="1"/>
  <c r="F7" i="3"/>
  <c r="F8" i="3" s="1"/>
  <c r="E7" i="3"/>
  <c r="E8" i="3" s="1"/>
  <c r="D7" i="3"/>
  <c r="D8" i="3" s="1"/>
  <c r="H4" i="3"/>
  <c r="G4" i="3"/>
  <c r="F4" i="3"/>
  <c r="E4" i="3"/>
  <c r="D4" i="3"/>
  <c r="C4" i="3"/>
  <c r="P1186" i="2"/>
  <c r="O1186" i="2"/>
  <c r="P1185" i="2"/>
  <c r="O1185" i="2"/>
  <c r="P1184" i="2"/>
  <c r="O1184" i="2"/>
  <c r="P1183" i="2"/>
  <c r="O1183" i="2"/>
  <c r="P1182" i="2"/>
  <c r="O1182" i="2"/>
  <c r="P1181" i="2"/>
  <c r="O1181" i="2"/>
  <c r="P1180" i="2"/>
  <c r="O1180" i="2"/>
  <c r="P1179" i="2"/>
  <c r="O1179" i="2"/>
  <c r="P1178" i="2"/>
  <c r="O1178" i="2"/>
  <c r="P1177" i="2"/>
  <c r="O1177" i="2"/>
  <c r="P1176" i="2"/>
  <c r="O1176" i="2"/>
  <c r="P1175" i="2"/>
  <c r="O1175" i="2"/>
  <c r="P1174" i="2"/>
  <c r="O1174" i="2"/>
  <c r="P1173" i="2"/>
  <c r="O1173" i="2"/>
  <c r="P1172" i="2"/>
  <c r="O1172" i="2"/>
  <c r="P1171" i="2"/>
  <c r="O1171" i="2"/>
  <c r="P1170" i="2"/>
  <c r="O1170" i="2"/>
  <c r="P1169" i="2"/>
  <c r="O1169" i="2"/>
  <c r="P1168" i="2"/>
  <c r="O1168" i="2"/>
  <c r="P1167" i="2"/>
  <c r="O1167" i="2"/>
  <c r="P1166" i="2"/>
  <c r="O1166" i="2"/>
  <c r="P1165" i="2"/>
  <c r="O1165" i="2"/>
  <c r="P1164" i="2"/>
  <c r="O1164" i="2"/>
  <c r="P1163" i="2"/>
  <c r="O1163" i="2"/>
  <c r="P1162" i="2"/>
  <c r="O1162" i="2"/>
  <c r="P1161" i="2"/>
  <c r="O1161" i="2"/>
  <c r="P1160" i="2"/>
  <c r="O1160" i="2"/>
  <c r="P1159" i="2"/>
  <c r="O1159" i="2"/>
  <c r="P1158" i="2"/>
  <c r="O1158" i="2"/>
  <c r="P1157" i="2"/>
  <c r="O1157" i="2"/>
  <c r="P1156" i="2"/>
  <c r="O1156" i="2"/>
  <c r="P1155" i="2"/>
  <c r="O1155" i="2"/>
  <c r="P1154" i="2"/>
  <c r="O1154" i="2"/>
  <c r="P1153" i="2"/>
  <c r="O1153" i="2"/>
  <c r="P1152" i="2"/>
  <c r="O1152" i="2"/>
  <c r="P1151" i="2"/>
  <c r="O1151" i="2"/>
  <c r="P1150" i="2"/>
  <c r="O1150" i="2"/>
  <c r="P1149" i="2"/>
  <c r="O1149" i="2"/>
  <c r="P1148" i="2"/>
  <c r="O1148" i="2"/>
  <c r="P1147" i="2"/>
  <c r="O1147" i="2"/>
  <c r="P1146" i="2"/>
  <c r="O1146" i="2"/>
  <c r="P1145" i="2"/>
  <c r="O1145" i="2"/>
  <c r="P1144" i="2"/>
  <c r="O1144" i="2"/>
  <c r="P1143" i="2"/>
  <c r="O1143" i="2"/>
  <c r="P1142" i="2"/>
  <c r="O1142" i="2"/>
  <c r="P1141" i="2"/>
  <c r="O1141" i="2"/>
  <c r="P1140" i="2"/>
  <c r="O1140" i="2"/>
  <c r="P1139" i="2"/>
  <c r="O1139" i="2"/>
  <c r="P1138" i="2"/>
  <c r="O1138" i="2"/>
  <c r="P1137" i="2"/>
  <c r="O1137" i="2"/>
  <c r="P1136" i="2"/>
  <c r="O1136" i="2"/>
  <c r="P1135" i="2"/>
  <c r="O1135" i="2"/>
  <c r="P1134" i="2"/>
  <c r="O1134" i="2"/>
  <c r="P1133" i="2"/>
  <c r="O1133" i="2"/>
  <c r="P1132" i="2"/>
  <c r="O1132" i="2"/>
  <c r="P1131" i="2"/>
  <c r="O1131" i="2"/>
  <c r="P1130" i="2"/>
  <c r="O1130" i="2"/>
  <c r="P1129" i="2"/>
  <c r="O1129" i="2"/>
  <c r="P1128" i="2"/>
  <c r="O1128" i="2"/>
  <c r="P1127" i="2"/>
  <c r="O1127" i="2"/>
  <c r="P1126" i="2"/>
  <c r="O1126" i="2"/>
  <c r="P1125" i="2"/>
  <c r="O1125" i="2"/>
  <c r="P1124" i="2"/>
  <c r="O1124" i="2"/>
  <c r="P1123" i="2"/>
  <c r="O1123" i="2"/>
  <c r="P1122" i="2"/>
  <c r="O1122" i="2"/>
  <c r="P1121" i="2"/>
  <c r="H16" i="3" s="1"/>
  <c r="H17" i="3" s="1"/>
  <c r="O1121" i="2"/>
  <c r="P1120" i="2"/>
  <c r="O1120" i="2"/>
  <c r="P1119" i="2"/>
  <c r="O1119" i="2"/>
  <c r="P1118" i="2"/>
  <c r="O1118" i="2"/>
  <c r="P1117" i="2"/>
  <c r="O1117" i="2"/>
  <c r="P1116" i="2"/>
  <c r="O1116" i="2"/>
  <c r="P1115" i="2"/>
  <c r="O1115" i="2"/>
  <c r="P1114" i="2"/>
  <c r="O1114" i="2"/>
  <c r="P1113" i="2"/>
  <c r="O1113" i="2"/>
  <c r="P1112" i="2"/>
  <c r="O1112" i="2"/>
  <c r="P1111" i="2"/>
  <c r="O1111" i="2"/>
  <c r="P1110" i="2"/>
  <c r="O1110" i="2"/>
  <c r="P1109" i="2"/>
  <c r="O1109" i="2"/>
  <c r="P1108" i="2"/>
  <c r="O1108" i="2"/>
  <c r="P1107" i="2"/>
  <c r="O1107" i="2"/>
  <c r="P1106" i="2"/>
  <c r="O1106" i="2"/>
  <c r="P1105" i="2"/>
  <c r="O1105" i="2"/>
  <c r="P1104" i="2"/>
  <c r="O1104" i="2"/>
  <c r="P1103" i="2"/>
  <c r="O1103" i="2"/>
  <c r="P1102" i="2"/>
  <c r="O1102" i="2"/>
  <c r="P1101" i="2"/>
  <c r="O1101" i="2"/>
  <c r="P1100" i="2"/>
  <c r="O1100" i="2"/>
  <c r="P1099" i="2"/>
  <c r="O1099" i="2"/>
  <c r="P1098" i="2"/>
  <c r="O1098" i="2"/>
  <c r="P1097" i="2"/>
  <c r="O1097" i="2"/>
  <c r="P1096" i="2"/>
  <c r="O1096" i="2"/>
  <c r="P1095" i="2"/>
  <c r="O1095" i="2"/>
  <c r="P1094" i="2"/>
  <c r="O1094" i="2"/>
  <c r="P1093" i="2"/>
  <c r="O1093" i="2"/>
  <c r="P1092" i="2"/>
  <c r="O1092" i="2"/>
  <c r="P1091" i="2"/>
  <c r="O1091" i="2"/>
  <c r="P1090" i="2"/>
  <c r="O1090" i="2"/>
  <c r="P1089" i="2"/>
  <c r="O1089" i="2"/>
  <c r="P1088" i="2"/>
  <c r="O1088" i="2"/>
  <c r="P1087" i="2"/>
  <c r="O1087" i="2"/>
  <c r="P1086" i="2"/>
  <c r="O1086" i="2"/>
  <c r="P1085" i="2"/>
  <c r="O1085" i="2"/>
  <c r="P1084" i="2"/>
  <c r="O1084" i="2"/>
  <c r="P1083" i="2"/>
  <c r="O1083" i="2"/>
  <c r="P1082" i="2"/>
  <c r="O1082" i="2"/>
  <c r="P1081" i="2"/>
  <c r="O1081" i="2"/>
  <c r="P1080" i="2"/>
  <c r="O1080" i="2"/>
  <c r="P1079" i="2"/>
  <c r="O1079" i="2"/>
  <c r="P1078" i="2"/>
  <c r="O1078" i="2"/>
  <c r="P1077" i="2"/>
  <c r="O1077" i="2"/>
  <c r="P1076" i="2"/>
  <c r="O1076" i="2"/>
  <c r="P1075" i="2"/>
  <c r="O1075" i="2"/>
  <c r="P1074" i="2"/>
  <c r="O1074" i="2"/>
  <c r="P1073" i="2"/>
  <c r="O1073" i="2"/>
  <c r="P1072" i="2"/>
  <c r="O1072" i="2"/>
  <c r="P1071" i="2"/>
  <c r="O1071" i="2"/>
  <c r="P1070" i="2"/>
  <c r="O1070" i="2"/>
  <c r="P1069" i="2"/>
  <c r="O1069" i="2"/>
  <c r="P1068" i="2"/>
  <c r="O1068" i="2"/>
  <c r="P1067" i="2"/>
  <c r="O1067" i="2"/>
  <c r="P1066" i="2"/>
  <c r="O1066" i="2"/>
  <c r="P1065" i="2"/>
  <c r="O1065" i="2"/>
  <c r="P1064" i="2"/>
  <c r="O1064" i="2"/>
  <c r="P1063" i="2"/>
  <c r="O1063" i="2"/>
  <c r="P1062" i="2"/>
  <c r="O1062" i="2"/>
  <c r="P1061" i="2"/>
  <c r="O1061" i="2"/>
  <c r="P1060" i="2"/>
  <c r="O1060" i="2"/>
  <c r="P1059" i="2"/>
  <c r="O1059" i="2"/>
  <c r="P1058" i="2"/>
  <c r="O1058" i="2"/>
  <c r="P1057" i="2"/>
  <c r="O1057" i="2"/>
  <c r="P1056" i="2"/>
  <c r="O1056" i="2"/>
  <c r="P1055" i="2"/>
  <c r="O1055" i="2"/>
  <c r="P1054" i="2"/>
  <c r="O1054" i="2"/>
  <c r="P1053" i="2"/>
  <c r="O1053" i="2"/>
  <c r="P1052" i="2"/>
  <c r="O1052" i="2"/>
  <c r="P1051" i="2"/>
  <c r="O1051" i="2"/>
  <c r="P1050" i="2"/>
  <c r="O1050" i="2"/>
  <c r="P1049" i="2"/>
  <c r="O1049" i="2"/>
  <c r="P1048" i="2"/>
  <c r="O1048" i="2"/>
  <c r="P1047" i="2"/>
  <c r="O1047" i="2"/>
  <c r="P1046" i="2"/>
  <c r="O1046" i="2"/>
  <c r="P1045" i="2"/>
  <c r="O1045" i="2"/>
  <c r="P1044" i="2"/>
  <c r="O1044" i="2"/>
  <c r="P1043" i="2"/>
  <c r="O1043" i="2"/>
  <c r="P1042" i="2"/>
  <c r="O1042" i="2"/>
  <c r="P1041" i="2"/>
  <c r="O1041" i="2"/>
  <c r="P1040" i="2"/>
  <c r="O1040" i="2"/>
  <c r="P1039" i="2"/>
  <c r="O1039" i="2"/>
  <c r="P1038" i="2"/>
  <c r="O1038" i="2"/>
  <c r="P1037" i="2"/>
  <c r="O1037" i="2"/>
  <c r="P1036" i="2"/>
  <c r="O1036" i="2"/>
  <c r="P1035" i="2"/>
  <c r="O1035" i="2"/>
  <c r="P1034" i="2"/>
  <c r="O1034" i="2"/>
  <c r="P1033" i="2"/>
  <c r="O1033" i="2"/>
  <c r="P1032" i="2"/>
  <c r="O1032" i="2"/>
  <c r="P1031" i="2"/>
  <c r="O1031" i="2"/>
  <c r="P1030" i="2"/>
  <c r="O1030" i="2"/>
  <c r="P1029" i="2"/>
  <c r="O1029" i="2"/>
  <c r="P1028" i="2"/>
  <c r="O1028" i="2"/>
  <c r="P1027" i="2"/>
  <c r="O1027" i="2"/>
  <c r="P1026" i="2"/>
  <c r="O1026" i="2"/>
  <c r="P1025" i="2"/>
  <c r="O1025" i="2"/>
  <c r="P1024" i="2"/>
  <c r="O1024" i="2"/>
  <c r="P1023" i="2"/>
  <c r="O1023" i="2"/>
  <c r="P1022" i="2"/>
  <c r="O1022" i="2"/>
  <c r="P1021" i="2"/>
  <c r="O1021" i="2"/>
  <c r="P1020" i="2"/>
  <c r="O1020" i="2"/>
  <c r="P1019" i="2"/>
  <c r="O1019" i="2"/>
  <c r="P1018" i="2"/>
  <c r="O1018" i="2"/>
  <c r="P1017" i="2"/>
  <c r="O1017" i="2"/>
  <c r="P1016" i="2"/>
  <c r="O1016" i="2"/>
  <c r="P1015" i="2"/>
  <c r="O1015" i="2"/>
  <c r="P1014" i="2"/>
  <c r="O1014" i="2"/>
  <c r="P1013" i="2"/>
  <c r="O1013" i="2"/>
  <c r="P1012" i="2"/>
  <c r="O1012" i="2"/>
  <c r="P1011" i="2"/>
  <c r="O1011" i="2"/>
  <c r="P1010" i="2"/>
  <c r="O1010" i="2"/>
  <c r="P1009" i="2"/>
  <c r="O1009" i="2"/>
  <c r="P1008" i="2"/>
  <c r="O1008" i="2"/>
  <c r="P1007" i="2"/>
  <c r="O1007" i="2"/>
  <c r="P1006" i="2"/>
  <c r="O1006" i="2"/>
  <c r="P1005" i="2"/>
  <c r="O1005" i="2"/>
  <c r="P1004" i="2"/>
  <c r="O1004" i="2"/>
  <c r="P1003" i="2"/>
  <c r="O1003" i="2"/>
  <c r="P1002" i="2"/>
  <c r="O1002" i="2"/>
  <c r="P1001" i="2"/>
  <c r="O1001" i="2"/>
  <c r="P1000" i="2"/>
  <c r="O1000" i="2"/>
  <c r="P999" i="2"/>
  <c r="O999" i="2"/>
  <c r="P998" i="2"/>
  <c r="O998" i="2"/>
  <c r="P997" i="2"/>
  <c r="O997" i="2"/>
  <c r="P996" i="2"/>
  <c r="O996" i="2"/>
  <c r="P995" i="2"/>
  <c r="O995" i="2"/>
  <c r="P994" i="2"/>
  <c r="O994" i="2"/>
  <c r="P993" i="2"/>
  <c r="O993" i="2"/>
  <c r="P992" i="2"/>
  <c r="O992" i="2"/>
  <c r="P991" i="2"/>
  <c r="O991" i="2"/>
  <c r="P990" i="2"/>
  <c r="O990" i="2"/>
  <c r="P989" i="2"/>
  <c r="O989" i="2"/>
  <c r="P988" i="2"/>
  <c r="O988" i="2"/>
  <c r="P987" i="2"/>
  <c r="O987" i="2"/>
  <c r="P986" i="2"/>
  <c r="O986" i="2"/>
  <c r="P985" i="2"/>
  <c r="O985" i="2"/>
  <c r="P984" i="2"/>
  <c r="O984" i="2"/>
  <c r="P983" i="2"/>
  <c r="O983" i="2"/>
  <c r="P982" i="2"/>
  <c r="O982" i="2"/>
  <c r="P981" i="2"/>
  <c r="O981" i="2"/>
  <c r="P980" i="2"/>
  <c r="O980" i="2"/>
  <c r="P979" i="2"/>
  <c r="O979" i="2"/>
  <c r="P978" i="2"/>
  <c r="O978" i="2"/>
  <c r="P977" i="2"/>
  <c r="O977" i="2"/>
  <c r="P976" i="2"/>
  <c r="O976" i="2"/>
  <c r="P975" i="2"/>
  <c r="O975" i="2"/>
  <c r="P974" i="2"/>
  <c r="O974" i="2"/>
  <c r="P973" i="2"/>
  <c r="O973" i="2"/>
  <c r="P972" i="2"/>
  <c r="O972" i="2"/>
  <c r="P971" i="2"/>
  <c r="O971" i="2"/>
  <c r="P970" i="2"/>
  <c r="O970" i="2"/>
  <c r="P969" i="2"/>
  <c r="O969" i="2"/>
  <c r="P968" i="2"/>
  <c r="O968" i="2"/>
  <c r="P967" i="2"/>
  <c r="O967" i="2"/>
  <c r="P966" i="2"/>
  <c r="O966" i="2"/>
  <c r="P965" i="2"/>
  <c r="O965" i="2"/>
  <c r="P964" i="2"/>
  <c r="O964" i="2"/>
  <c r="P963" i="2"/>
  <c r="O963" i="2"/>
  <c r="P962" i="2"/>
  <c r="O962" i="2"/>
  <c r="P961" i="2"/>
  <c r="O961" i="2"/>
  <c r="P960" i="2"/>
  <c r="O960" i="2"/>
  <c r="P959" i="2"/>
  <c r="O959" i="2"/>
  <c r="P958" i="2"/>
  <c r="O958" i="2"/>
  <c r="P957" i="2"/>
  <c r="O957" i="2"/>
  <c r="P956" i="2"/>
  <c r="O956" i="2"/>
  <c r="P955" i="2"/>
  <c r="O955" i="2"/>
  <c r="P954" i="2"/>
  <c r="O954" i="2"/>
  <c r="P953" i="2"/>
  <c r="O953" i="2"/>
  <c r="P952" i="2"/>
  <c r="O952" i="2"/>
  <c r="P951" i="2"/>
  <c r="O951" i="2"/>
  <c r="P950" i="2"/>
  <c r="O950" i="2"/>
  <c r="P949" i="2"/>
  <c r="O949" i="2"/>
  <c r="P948" i="2"/>
  <c r="O948" i="2"/>
  <c r="P947" i="2"/>
  <c r="O947" i="2"/>
  <c r="P946" i="2"/>
  <c r="O946" i="2"/>
  <c r="P945" i="2"/>
  <c r="O945" i="2"/>
  <c r="P944" i="2"/>
  <c r="O944" i="2"/>
  <c r="P943" i="2"/>
  <c r="O943" i="2"/>
  <c r="P942" i="2"/>
  <c r="O942" i="2"/>
  <c r="P941" i="2"/>
  <c r="O941" i="2"/>
  <c r="P940" i="2"/>
  <c r="O940" i="2"/>
  <c r="P939" i="2"/>
  <c r="O939" i="2"/>
  <c r="P938" i="2"/>
  <c r="O938" i="2"/>
  <c r="P937" i="2"/>
  <c r="O937" i="2"/>
  <c r="P936" i="2"/>
  <c r="O936" i="2"/>
  <c r="P935" i="2"/>
  <c r="O935" i="2"/>
  <c r="P934" i="2"/>
  <c r="O934" i="2"/>
  <c r="P933" i="2"/>
  <c r="O933" i="2"/>
  <c r="P932" i="2"/>
  <c r="O932" i="2"/>
  <c r="P931" i="2"/>
  <c r="O931" i="2"/>
  <c r="P930" i="2"/>
  <c r="O930" i="2"/>
  <c r="P929" i="2"/>
  <c r="O929" i="2"/>
  <c r="P928" i="2"/>
  <c r="O928" i="2"/>
  <c r="P927" i="2"/>
  <c r="O927" i="2"/>
  <c r="P926" i="2"/>
  <c r="O926" i="2"/>
  <c r="P925" i="2"/>
  <c r="O925" i="2"/>
  <c r="P924" i="2"/>
  <c r="O924" i="2"/>
  <c r="P923" i="2"/>
  <c r="O923" i="2"/>
  <c r="P922" i="2"/>
  <c r="O922" i="2"/>
  <c r="P921" i="2"/>
  <c r="O921" i="2"/>
  <c r="P920" i="2"/>
  <c r="O920" i="2"/>
  <c r="P919" i="2"/>
  <c r="O919" i="2"/>
  <c r="P918" i="2"/>
  <c r="O918" i="2"/>
  <c r="P917" i="2"/>
  <c r="O917" i="2"/>
  <c r="P916" i="2"/>
  <c r="O916" i="2"/>
  <c r="P915" i="2"/>
  <c r="O915" i="2"/>
  <c r="P914" i="2"/>
  <c r="O914" i="2"/>
  <c r="P913" i="2"/>
  <c r="O913" i="2"/>
  <c r="P912" i="2"/>
  <c r="O912" i="2"/>
  <c r="P911" i="2"/>
  <c r="O911" i="2"/>
  <c r="P910" i="2"/>
  <c r="O910" i="2"/>
  <c r="P909" i="2"/>
  <c r="O909" i="2"/>
  <c r="P908" i="2"/>
  <c r="O908" i="2"/>
  <c r="P907" i="2"/>
  <c r="O907" i="2"/>
  <c r="P906" i="2"/>
  <c r="O906" i="2"/>
  <c r="P905" i="2"/>
  <c r="O905" i="2"/>
  <c r="P904" i="2"/>
  <c r="O904" i="2"/>
  <c r="P903" i="2"/>
  <c r="O903" i="2"/>
  <c r="P902" i="2"/>
  <c r="O902" i="2"/>
  <c r="P901" i="2"/>
  <c r="O901" i="2"/>
  <c r="P900" i="2"/>
  <c r="O900" i="2"/>
  <c r="P899" i="2"/>
  <c r="O899" i="2"/>
  <c r="P898" i="2"/>
  <c r="O898" i="2"/>
  <c r="P897" i="2"/>
  <c r="O897" i="2"/>
  <c r="P896" i="2"/>
  <c r="O896" i="2"/>
  <c r="P895" i="2"/>
  <c r="O895" i="2"/>
  <c r="P894" i="2"/>
  <c r="O894" i="2"/>
  <c r="P893" i="2"/>
  <c r="O893" i="2"/>
  <c r="P892" i="2"/>
  <c r="O892" i="2"/>
  <c r="P891" i="2"/>
  <c r="O891" i="2"/>
  <c r="P890" i="2"/>
  <c r="O890" i="2"/>
  <c r="P889" i="2"/>
  <c r="O889" i="2"/>
  <c r="P888" i="2"/>
  <c r="O888" i="2"/>
  <c r="P887" i="2"/>
  <c r="O887" i="2"/>
  <c r="P886" i="2"/>
  <c r="O886" i="2"/>
  <c r="P885" i="2"/>
  <c r="O885" i="2"/>
  <c r="P884" i="2"/>
  <c r="O884" i="2"/>
  <c r="P883" i="2"/>
  <c r="O883" i="2"/>
  <c r="P882" i="2"/>
  <c r="O882" i="2"/>
  <c r="P881" i="2"/>
  <c r="O881" i="2"/>
  <c r="P880" i="2"/>
  <c r="O880" i="2"/>
  <c r="P879" i="2"/>
  <c r="O879" i="2"/>
  <c r="P878" i="2"/>
  <c r="O878" i="2"/>
  <c r="P877" i="2"/>
  <c r="O877" i="2"/>
  <c r="P876" i="2"/>
  <c r="O876" i="2"/>
  <c r="P875" i="2"/>
  <c r="O875" i="2"/>
  <c r="P874" i="2"/>
  <c r="O874" i="2"/>
  <c r="P873" i="2"/>
  <c r="O873" i="2"/>
  <c r="P872" i="2"/>
  <c r="O872" i="2"/>
  <c r="P871" i="2"/>
  <c r="O871" i="2"/>
  <c r="P870" i="2"/>
  <c r="O870" i="2"/>
  <c r="P869" i="2"/>
  <c r="O869" i="2"/>
  <c r="P868" i="2"/>
  <c r="O868" i="2"/>
  <c r="P867" i="2"/>
  <c r="O867" i="2"/>
  <c r="P866" i="2"/>
  <c r="O866" i="2"/>
  <c r="P865" i="2"/>
  <c r="O865" i="2"/>
  <c r="P864" i="2"/>
  <c r="O864" i="2"/>
  <c r="P863" i="2"/>
  <c r="O863" i="2"/>
  <c r="P862" i="2"/>
  <c r="O862" i="2"/>
  <c r="P861" i="2"/>
  <c r="O861" i="2"/>
  <c r="P860" i="2"/>
  <c r="O860" i="2"/>
  <c r="P859" i="2"/>
  <c r="O859" i="2"/>
  <c r="P858" i="2"/>
  <c r="O858" i="2"/>
  <c r="P857" i="2"/>
  <c r="O857" i="2"/>
  <c r="P856" i="2"/>
  <c r="O856" i="2"/>
  <c r="P855" i="2"/>
  <c r="O855" i="2"/>
  <c r="P854" i="2"/>
  <c r="O854" i="2"/>
  <c r="P853" i="2"/>
  <c r="O853" i="2"/>
  <c r="P852" i="2"/>
  <c r="O852" i="2"/>
  <c r="P851" i="2"/>
  <c r="O851" i="2"/>
  <c r="P850" i="2"/>
  <c r="O850" i="2"/>
  <c r="P849" i="2"/>
  <c r="O849" i="2"/>
  <c r="P848" i="2"/>
  <c r="O848" i="2"/>
  <c r="P847" i="2"/>
  <c r="O847" i="2"/>
  <c r="P846" i="2"/>
  <c r="O846" i="2"/>
  <c r="P845" i="2"/>
  <c r="O845" i="2"/>
  <c r="P844" i="2"/>
  <c r="O844" i="2"/>
  <c r="P843" i="2"/>
  <c r="O843" i="2"/>
  <c r="P842" i="2"/>
  <c r="O842" i="2"/>
  <c r="P841" i="2"/>
  <c r="O841" i="2"/>
  <c r="P840" i="2"/>
  <c r="O840" i="2"/>
  <c r="P839" i="2"/>
  <c r="O839" i="2"/>
  <c r="P838" i="2"/>
  <c r="O838" i="2"/>
  <c r="P837" i="2"/>
  <c r="O837" i="2"/>
  <c r="P836" i="2"/>
  <c r="O836" i="2"/>
  <c r="P835" i="2"/>
  <c r="O835" i="2"/>
  <c r="P834" i="2"/>
  <c r="O834" i="2"/>
  <c r="P833" i="2"/>
  <c r="O833" i="2"/>
  <c r="P832" i="2"/>
  <c r="O832" i="2"/>
  <c r="P831" i="2"/>
  <c r="O831" i="2"/>
  <c r="P830" i="2"/>
  <c r="O830" i="2"/>
  <c r="P829" i="2"/>
  <c r="O829" i="2"/>
  <c r="P828" i="2"/>
  <c r="O828" i="2"/>
  <c r="P827" i="2"/>
  <c r="O827" i="2"/>
  <c r="P826" i="2"/>
  <c r="O826" i="2"/>
  <c r="P825" i="2"/>
  <c r="O825" i="2"/>
  <c r="P824" i="2"/>
  <c r="O824" i="2"/>
  <c r="P823" i="2"/>
  <c r="O823" i="2"/>
  <c r="P822" i="2"/>
  <c r="O822" i="2"/>
  <c r="P821" i="2"/>
  <c r="O821" i="2"/>
  <c r="P820" i="2"/>
  <c r="O820" i="2"/>
  <c r="P819" i="2"/>
  <c r="O819" i="2"/>
  <c r="P818" i="2"/>
  <c r="O818" i="2"/>
  <c r="P817" i="2"/>
  <c r="O817" i="2"/>
  <c r="P816" i="2"/>
  <c r="O816" i="2"/>
  <c r="P815" i="2"/>
  <c r="O815" i="2"/>
  <c r="P814" i="2"/>
  <c r="O814" i="2"/>
  <c r="P813" i="2"/>
  <c r="O813" i="2"/>
  <c r="P812" i="2"/>
  <c r="O812" i="2"/>
  <c r="P811" i="2"/>
  <c r="O811" i="2"/>
  <c r="P810" i="2"/>
  <c r="O810" i="2"/>
  <c r="P809" i="2"/>
  <c r="O809" i="2"/>
  <c r="P808" i="2"/>
  <c r="O808" i="2"/>
  <c r="P807" i="2"/>
  <c r="O807" i="2"/>
  <c r="P806" i="2"/>
  <c r="O806" i="2"/>
  <c r="P805" i="2"/>
  <c r="O805" i="2"/>
  <c r="P804" i="2"/>
  <c r="O804" i="2"/>
  <c r="P803" i="2"/>
  <c r="O803" i="2"/>
  <c r="P802" i="2"/>
  <c r="O802" i="2"/>
  <c r="P801" i="2"/>
  <c r="O801" i="2"/>
  <c r="P800" i="2"/>
  <c r="O800" i="2"/>
  <c r="P799" i="2"/>
  <c r="O799" i="2"/>
  <c r="P798" i="2"/>
  <c r="O798" i="2"/>
  <c r="P797" i="2"/>
  <c r="O797" i="2"/>
  <c r="P796" i="2"/>
  <c r="O796" i="2"/>
  <c r="P795" i="2"/>
  <c r="O795" i="2"/>
  <c r="P794" i="2"/>
  <c r="O794" i="2"/>
  <c r="P793" i="2"/>
  <c r="O793" i="2"/>
  <c r="P792" i="2"/>
  <c r="O792" i="2"/>
  <c r="P791" i="2"/>
  <c r="O791" i="2"/>
  <c r="P790" i="2"/>
  <c r="O790" i="2"/>
  <c r="P789" i="2"/>
  <c r="O789" i="2"/>
  <c r="P788" i="2"/>
  <c r="O788" i="2"/>
  <c r="P787" i="2"/>
  <c r="O787" i="2"/>
  <c r="P786" i="2"/>
  <c r="O786" i="2"/>
  <c r="P785" i="2"/>
  <c r="O785" i="2"/>
  <c r="P784" i="2"/>
  <c r="O784" i="2"/>
  <c r="P783" i="2"/>
  <c r="O783" i="2"/>
  <c r="P782" i="2"/>
  <c r="O782" i="2"/>
  <c r="P781" i="2"/>
  <c r="O781" i="2"/>
  <c r="P780" i="2"/>
  <c r="O780" i="2"/>
  <c r="P779" i="2"/>
  <c r="O779" i="2"/>
  <c r="P778" i="2"/>
  <c r="O778" i="2"/>
  <c r="P777" i="2"/>
  <c r="O777" i="2"/>
  <c r="P776" i="2"/>
  <c r="O776" i="2"/>
  <c r="P775" i="2"/>
  <c r="O775" i="2"/>
  <c r="P774" i="2"/>
  <c r="O774" i="2"/>
  <c r="P773" i="2"/>
  <c r="O773" i="2"/>
  <c r="P772" i="2"/>
  <c r="O772" i="2"/>
  <c r="P771" i="2"/>
  <c r="O771" i="2"/>
  <c r="P770" i="2"/>
  <c r="O770" i="2"/>
  <c r="P769" i="2"/>
  <c r="O769" i="2"/>
  <c r="P768" i="2"/>
  <c r="O768" i="2"/>
  <c r="P767" i="2"/>
  <c r="O767" i="2"/>
  <c r="P766" i="2"/>
  <c r="O766" i="2"/>
  <c r="P765" i="2"/>
  <c r="O765" i="2"/>
  <c r="P764" i="2"/>
  <c r="O764" i="2"/>
  <c r="P763" i="2"/>
  <c r="O763" i="2"/>
  <c r="P762" i="2"/>
  <c r="O762" i="2"/>
  <c r="P761" i="2"/>
  <c r="O761" i="2"/>
  <c r="P760" i="2"/>
  <c r="O760" i="2"/>
  <c r="P759" i="2"/>
  <c r="O759" i="2"/>
  <c r="P758" i="2"/>
  <c r="O758" i="2"/>
  <c r="P757" i="2"/>
  <c r="O757" i="2"/>
  <c r="P756" i="2"/>
  <c r="O756" i="2"/>
  <c r="P755" i="2"/>
  <c r="O755" i="2"/>
  <c r="P754" i="2"/>
  <c r="O754" i="2"/>
  <c r="P753" i="2"/>
  <c r="O753" i="2"/>
  <c r="P752" i="2"/>
  <c r="O752" i="2"/>
  <c r="P751" i="2"/>
  <c r="O751" i="2"/>
  <c r="P750" i="2"/>
  <c r="O750" i="2"/>
  <c r="P749" i="2"/>
  <c r="O749" i="2"/>
  <c r="P748" i="2"/>
  <c r="O748" i="2"/>
  <c r="P747" i="2"/>
  <c r="O747" i="2"/>
  <c r="P746" i="2"/>
  <c r="O746" i="2"/>
  <c r="P745" i="2"/>
  <c r="O745" i="2"/>
  <c r="P744" i="2"/>
  <c r="O744" i="2"/>
  <c r="P743" i="2"/>
  <c r="O743" i="2"/>
  <c r="P742" i="2"/>
  <c r="O742" i="2"/>
  <c r="P741" i="2"/>
  <c r="O741" i="2"/>
  <c r="P740" i="2"/>
  <c r="O740" i="2"/>
  <c r="P739" i="2"/>
  <c r="O739" i="2"/>
  <c r="P738" i="2"/>
  <c r="O738" i="2"/>
  <c r="P737" i="2"/>
  <c r="O737" i="2"/>
  <c r="P736" i="2"/>
  <c r="O736" i="2"/>
  <c r="P735" i="2"/>
  <c r="O735" i="2"/>
  <c r="P734" i="2"/>
  <c r="O734" i="2"/>
  <c r="P733" i="2"/>
  <c r="O733" i="2"/>
  <c r="P732" i="2"/>
  <c r="O732" i="2"/>
  <c r="P731" i="2"/>
  <c r="O731" i="2"/>
  <c r="P730" i="2"/>
  <c r="O730" i="2"/>
  <c r="P729" i="2"/>
  <c r="O729" i="2"/>
  <c r="P728" i="2"/>
  <c r="O728" i="2"/>
  <c r="P727" i="2"/>
  <c r="O727" i="2"/>
  <c r="P726" i="2"/>
  <c r="O726" i="2"/>
  <c r="P725" i="2"/>
  <c r="O725" i="2"/>
  <c r="P724" i="2"/>
  <c r="O724" i="2"/>
  <c r="P723" i="2"/>
  <c r="O723" i="2"/>
  <c r="P722" i="2"/>
  <c r="O722" i="2"/>
  <c r="P721" i="2"/>
  <c r="O721" i="2"/>
  <c r="P720" i="2"/>
  <c r="O720" i="2"/>
  <c r="P719" i="2"/>
  <c r="O719" i="2"/>
  <c r="P718" i="2"/>
  <c r="O718" i="2"/>
  <c r="P717" i="2"/>
  <c r="O717" i="2"/>
  <c r="P716" i="2"/>
  <c r="O716" i="2"/>
  <c r="P715" i="2"/>
  <c r="O715" i="2"/>
  <c r="P714" i="2"/>
  <c r="O714" i="2"/>
  <c r="P713" i="2"/>
  <c r="O713" i="2"/>
  <c r="P712" i="2"/>
  <c r="O712" i="2"/>
  <c r="P711" i="2"/>
  <c r="O711" i="2"/>
  <c r="P710" i="2"/>
  <c r="O710" i="2"/>
  <c r="P709" i="2"/>
  <c r="O709" i="2"/>
  <c r="P708" i="2"/>
  <c r="O708" i="2"/>
  <c r="P707" i="2"/>
  <c r="O707" i="2"/>
  <c r="P706" i="2"/>
  <c r="O706" i="2"/>
  <c r="P705" i="2"/>
  <c r="O705" i="2"/>
  <c r="P704" i="2"/>
  <c r="O704" i="2"/>
  <c r="P703" i="2"/>
  <c r="O703" i="2"/>
  <c r="P702" i="2"/>
  <c r="O702" i="2"/>
  <c r="P701" i="2"/>
  <c r="O701" i="2"/>
  <c r="P700" i="2"/>
  <c r="O700" i="2"/>
  <c r="P699" i="2"/>
  <c r="O699" i="2"/>
  <c r="P698" i="2"/>
  <c r="O698" i="2"/>
  <c r="P697" i="2"/>
  <c r="O697" i="2"/>
  <c r="P696" i="2"/>
  <c r="O696" i="2"/>
  <c r="P695" i="2"/>
  <c r="O695" i="2"/>
  <c r="P694" i="2"/>
  <c r="O694" i="2"/>
  <c r="P693" i="2"/>
  <c r="O693" i="2"/>
  <c r="P692" i="2"/>
  <c r="O692" i="2"/>
  <c r="P691" i="2"/>
  <c r="O691" i="2"/>
  <c r="P690" i="2"/>
  <c r="O690" i="2"/>
  <c r="P689" i="2"/>
  <c r="O689" i="2"/>
  <c r="P688" i="2"/>
  <c r="O688" i="2"/>
  <c r="P687" i="2"/>
  <c r="O687" i="2"/>
  <c r="P686" i="2"/>
  <c r="O686" i="2"/>
  <c r="P685" i="2"/>
  <c r="O685" i="2"/>
  <c r="P684" i="2"/>
  <c r="O684" i="2"/>
  <c r="P683" i="2"/>
  <c r="O683" i="2"/>
  <c r="P682" i="2"/>
  <c r="O682" i="2"/>
  <c r="P681" i="2"/>
  <c r="O681" i="2"/>
  <c r="P680" i="2"/>
  <c r="O680" i="2"/>
  <c r="P679" i="2"/>
  <c r="O679" i="2"/>
  <c r="P678" i="2"/>
  <c r="O678" i="2"/>
  <c r="P677" i="2"/>
  <c r="O677" i="2"/>
  <c r="P676" i="2"/>
  <c r="O676" i="2"/>
  <c r="P675" i="2"/>
  <c r="O675" i="2"/>
  <c r="P674" i="2"/>
  <c r="O674" i="2"/>
  <c r="P673" i="2"/>
  <c r="O673" i="2"/>
  <c r="P672" i="2"/>
  <c r="O672" i="2"/>
  <c r="P671" i="2"/>
  <c r="O671" i="2"/>
  <c r="P670" i="2"/>
  <c r="O670" i="2"/>
  <c r="P669" i="2"/>
  <c r="O669" i="2"/>
  <c r="P668" i="2"/>
  <c r="O668" i="2"/>
  <c r="P667" i="2"/>
  <c r="O667" i="2"/>
  <c r="P666" i="2"/>
  <c r="O666" i="2"/>
  <c r="P665" i="2"/>
  <c r="O665" i="2"/>
  <c r="P664" i="2"/>
  <c r="O664" i="2"/>
  <c r="P663" i="2"/>
  <c r="O663" i="2"/>
  <c r="P662" i="2"/>
  <c r="O662" i="2"/>
  <c r="P661" i="2"/>
  <c r="O661" i="2"/>
  <c r="P660" i="2"/>
  <c r="O660" i="2"/>
  <c r="P659" i="2"/>
  <c r="O659" i="2"/>
  <c r="P658" i="2"/>
  <c r="O658" i="2"/>
  <c r="P657" i="2"/>
  <c r="O657" i="2"/>
  <c r="P656" i="2"/>
  <c r="O656" i="2"/>
  <c r="P655" i="2"/>
  <c r="O655" i="2"/>
  <c r="P654" i="2"/>
  <c r="O654" i="2"/>
  <c r="P653" i="2"/>
  <c r="O653" i="2"/>
  <c r="P652" i="2"/>
  <c r="O652" i="2"/>
  <c r="P651" i="2"/>
  <c r="O651" i="2"/>
  <c r="P650" i="2"/>
  <c r="O650" i="2"/>
  <c r="P649" i="2"/>
  <c r="O649" i="2"/>
  <c r="P648" i="2"/>
  <c r="O648" i="2"/>
  <c r="P647" i="2"/>
  <c r="O647" i="2"/>
  <c r="P646" i="2"/>
  <c r="O646" i="2"/>
  <c r="P645" i="2"/>
  <c r="O645" i="2"/>
  <c r="P644" i="2"/>
  <c r="O644" i="2"/>
  <c r="P643" i="2"/>
  <c r="O643" i="2"/>
  <c r="P642" i="2"/>
  <c r="O642" i="2"/>
  <c r="P641" i="2"/>
  <c r="O641" i="2"/>
  <c r="P640" i="2"/>
  <c r="O640" i="2"/>
  <c r="P639" i="2"/>
  <c r="O639" i="2"/>
  <c r="P638" i="2"/>
  <c r="O638" i="2"/>
  <c r="P637" i="2"/>
  <c r="O637" i="2"/>
  <c r="P636" i="2"/>
  <c r="O636" i="2"/>
  <c r="P635" i="2"/>
  <c r="O635" i="2"/>
  <c r="P634" i="2"/>
  <c r="O634" i="2"/>
  <c r="P633" i="2"/>
  <c r="O633" i="2"/>
  <c r="P632" i="2"/>
  <c r="O632" i="2"/>
  <c r="P631" i="2"/>
  <c r="O631" i="2"/>
  <c r="P630" i="2"/>
  <c r="O630" i="2"/>
  <c r="P629" i="2"/>
  <c r="O629" i="2"/>
  <c r="P628" i="2"/>
  <c r="O628" i="2"/>
  <c r="P627" i="2"/>
  <c r="O627" i="2"/>
  <c r="P626" i="2"/>
  <c r="O626" i="2"/>
  <c r="P625" i="2"/>
  <c r="O625" i="2"/>
  <c r="P624" i="2"/>
  <c r="O624" i="2"/>
  <c r="P623" i="2"/>
  <c r="O623" i="2"/>
  <c r="P622" i="2"/>
  <c r="O622" i="2"/>
  <c r="P621" i="2"/>
  <c r="O621" i="2"/>
  <c r="P620" i="2"/>
  <c r="O620" i="2"/>
  <c r="P619" i="2"/>
  <c r="O619" i="2"/>
  <c r="P618" i="2"/>
  <c r="O618" i="2"/>
  <c r="P617" i="2"/>
  <c r="O617" i="2"/>
  <c r="P616" i="2"/>
  <c r="O616" i="2"/>
  <c r="P615" i="2"/>
  <c r="O615" i="2"/>
  <c r="P614" i="2"/>
  <c r="O614" i="2"/>
  <c r="P613" i="2"/>
  <c r="O613" i="2"/>
  <c r="P612" i="2"/>
  <c r="O612" i="2"/>
  <c r="P611" i="2"/>
  <c r="O611" i="2"/>
  <c r="P610" i="2"/>
  <c r="O610" i="2"/>
  <c r="P609" i="2"/>
  <c r="O609" i="2"/>
  <c r="P608" i="2"/>
  <c r="O608" i="2"/>
  <c r="P607" i="2"/>
  <c r="O607" i="2"/>
  <c r="P606" i="2"/>
  <c r="O606" i="2"/>
  <c r="P605" i="2"/>
  <c r="O605" i="2"/>
  <c r="P604" i="2"/>
  <c r="O604" i="2"/>
  <c r="P603" i="2"/>
  <c r="O603" i="2"/>
  <c r="P602" i="2"/>
  <c r="O602" i="2"/>
  <c r="P601" i="2"/>
  <c r="O601" i="2"/>
  <c r="P600" i="2"/>
  <c r="O600" i="2"/>
  <c r="P599" i="2"/>
  <c r="O599" i="2"/>
  <c r="P598" i="2"/>
  <c r="O598" i="2"/>
  <c r="P597" i="2"/>
  <c r="O597" i="2"/>
  <c r="P596" i="2"/>
  <c r="O596" i="2"/>
  <c r="P595" i="2"/>
  <c r="O595" i="2"/>
  <c r="P594" i="2"/>
  <c r="O594" i="2"/>
  <c r="P593" i="2"/>
  <c r="O593" i="2"/>
  <c r="P592" i="2"/>
  <c r="O592" i="2"/>
  <c r="P591" i="2"/>
  <c r="O591" i="2"/>
  <c r="P590" i="2"/>
  <c r="O590" i="2"/>
  <c r="P589" i="2"/>
  <c r="O589" i="2"/>
  <c r="P588" i="2"/>
  <c r="O588" i="2"/>
  <c r="P587" i="2"/>
  <c r="O587" i="2"/>
  <c r="P586" i="2"/>
  <c r="O586" i="2"/>
  <c r="P585" i="2"/>
  <c r="O585" i="2"/>
  <c r="P584" i="2"/>
  <c r="O584" i="2"/>
  <c r="P583" i="2"/>
  <c r="O583" i="2"/>
  <c r="P582" i="2"/>
  <c r="O582" i="2"/>
  <c r="P581" i="2"/>
  <c r="O581" i="2"/>
  <c r="P580" i="2"/>
  <c r="O580" i="2"/>
  <c r="P579" i="2"/>
  <c r="O579" i="2"/>
  <c r="P578" i="2"/>
  <c r="O578" i="2"/>
  <c r="P577" i="2"/>
  <c r="O577" i="2"/>
  <c r="P576" i="2"/>
  <c r="O576" i="2"/>
  <c r="P575" i="2"/>
  <c r="O575" i="2"/>
  <c r="P574" i="2"/>
  <c r="O574" i="2"/>
  <c r="P573" i="2"/>
  <c r="O573" i="2"/>
  <c r="P572" i="2"/>
  <c r="O572" i="2"/>
  <c r="P571" i="2"/>
  <c r="O571" i="2"/>
  <c r="P570" i="2"/>
  <c r="O570" i="2"/>
  <c r="P569" i="2"/>
  <c r="O569" i="2"/>
  <c r="P568" i="2"/>
  <c r="O568" i="2"/>
  <c r="P567" i="2"/>
  <c r="O567" i="2"/>
  <c r="P566" i="2"/>
  <c r="O566" i="2"/>
  <c r="P565" i="2"/>
  <c r="O565" i="2"/>
  <c r="P564" i="2"/>
  <c r="O564" i="2"/>
  <c r="P563" i="2"/>
  <c r="O563" i="2"/>
  <c r="P562" i="2"/>
  <c r="O562" i="2"/>
  <c r="P561" i="2"/>
  <c r="O561" i="2"/>
  <c r="P560" i="2"/>
  <c r="O560" i="2"/>
  <c r="P559" i="2"/>
  <c r="O559" i="2"/>
  <c r="P558" i="2"/>
  <c r="O558" i="2"/>
  <c r="P557" i="2"/>
  <c r="O557" i="2"/>
  <c r="P556" i="2"/>
  <c r="O556" i="2"/>
  <c r="P555" i="2"/>
  <c r="O555" i="2"/>
  <c r="P554" i="2"/>
  <c r="O554" i="2"/>
  <c r="P553" i="2"/>
  <c r="O553" i="2"/>
  <c r="P552" i="2"/>
  <c r="O552" i="2"/>
  <c r="P551" i="2"/>
  <c r="O551" i="2"/>
  <c r="P550" i="2"/>
  <c r="O550" i="2"/>
  <c r="P549" i="2"/>
  <c r="O549" i="2"/>
  <c r="P548" i="2"/>
  <c r="O548" i="2"/>
  <c r="P547" i="2"/>
  <c r="O547" i="2"/>
  <c r="P546" i="2"/>
  <c r="O546" i="2"/>
  <c r="P545" i="2"/>
  <c r="O545" i="2"/>
  <c r="P544" i="2"/>
  <c r="O544" i="2"/>
  <c r="P543" i="2"/>
  <c r="O543" i="2"/>
  <c r="P542" i="2"/>
  <c r="O542" i="2"/>
  <c r="P541" i="2"/>
  <c r="O541" i="2"/>
  <c r="P540" i="2"/>
  <c r="O540" i="2"/>
  <c r="P539" i="2"/>
  <c r="O539" i="2"/>
  <c r="P538" i="2"/>
  <c r="O538" i="2"/>
  <c r="P537" i="2"/>
  <c r="O537" i="2"/>
  <c r="P536" i="2"/>
  <c r="O536" i="2"/>
  <c r="P535" i="2"/>
  <c r="O535" i="2"/>
  <c r="P534" i="2"/>
  <c r="O534" i="2"/>
  <c r="P533" i="2"/>
  <c r="O533" i="2"/>
  <c r="P532" i="2"/>
  <c r="O532" i="2"/>
  <c r="P531" i="2"/>
  <c r="O531" i="2"/>
  <c r="P530" i="2"/>
  <c r="O530" i="2"/>
  <c r="P529" i="2"/>
  <c r="O529" i="2"/>
  <c r="P528" i="2"/>
  <c r="O528" i="2"/>
  <c r="P527" i="2"/>
  <c r="O527" i="2"/>
  <c r="P526" i="2"/>
  <c r="O526" i="2"/>
  <c r="P525" i="2"/>
  <c r="O525" i="2"/>
  <c r="P524" i="2"/>
  <c r="O524" i="2"/>
  <c r="P523" i="2"/>
  <c r="O523" i="2"/>
  <c r="P522" i="2"/>
  <c r="O522" i="2"/>
  <c r="P521" i="2"/>
  <c r="O521" i="2"/>
  <c r="P520" i="2"/>
  <c r="O520" i="2"/>
  <c r="P519" i="2"/>
  <c r="O519" i="2"/>
  <c r="P518" i="2"/>
  <c r="O518" i="2"/>
  <c r="P517" i="2"/>
  <c r="O517" i="2"/>
  <c r="P516" i="2"/>
  <c r="O516" i="2"/>
  <c r="P515" i="2"/>
  <c r="O515" i="2"/>
  <c r="P514" i="2"/>
  <c r="O514" i="2"/>
  <c r="P513" i="2"/>
  <c r="O513" i="2"/>
  <c r="P512" i="2"/>
  <c r="O512" i="2"/>
  <c r="P511" i="2"/>
  <c r="O511" i="2"/>
  <c r="P510" i="2"/>
  <c r="O510" i="2"/>
  <c r="P509" i="2"/>
  <c r="O509" i="2"/>
  <c r="P508" i="2"/>
  <c r="O508" i="2"/>
  <c r="P507" i="2"/>
  <c r="O507" i="2"/>
  <c r="P506" i="2"/>
  <c r="O506" i="2"/>
  <c r="P505" i="2"/>
  <c r="O505" i="2"/>
  <c r="P504" i="2"/>
  <c r="O504" i="2"/>
  <c r="P503" i="2"/>
  <c r="O503" i="2"/>
  <c r="P502" i="2"/>
  <c r="O502" i="2"/>
  <c r="P501" i="2"/>
  <c r="O501" i="2"/>
  <c r="P500" i="2"/>
  <c r="O500" i="2"/>
  <c r="P499" i="2"/>
  <c r="O499" i="2"/>
  <c r="P498" i="2"/>
  <c r="O498" i="2"/>
  <c r="P497" i="2"/>
  <c r="O497" i="2"/>
  <c r="P496" i="2"/>
  <c r="O496" i="2"/>
  <c r="P495" i="2"/>
  <c r="O495" i="2"/>
  <c r="P494" i="2"/>
  <c r="O494" i="2"/>
  <c r="P493" i="2"/>
  <c r="O493" i="2"/>
  <c r="P492" i="2"/>
  <c r="O492" i="2"/>
  <c r="P491" i="2"/>
  <c r="O491" i="2"/>
  <c r="P490" i="2"/>
  <c r="O490" i="2"/>
  <c r="P489" i="2"/>
  <c r="O489" i="2"/>
  <c r="P488" i="2"/>
  <c r="O488" i="2"/>
  <c r="P487" i="2"/>
  <c r="O487" i="2"/>
  <c r="P486" i="2"/>
  <c r="O486" i="2"/>
  <c r="P485" i="2"/>
  <c r="O485" i="2"/>
  <c r="P484" i="2"/>
  <c r="O484" i="2"/>
  <c r="P483" i="2"/>
  <c r="O483" i="2"/>
  <c r="P482" i="2"/>
  <c r="O482" i="2"/>
  <c r="P481" i="2"/>
  <c r="O481" i="2"/>
  <c r="P480" i="2"/>
  <c r="O480" i="2"/>
  <c r="P479" i="2"/>
  <c r="O479" i="2"/>
  <c r="P478" i="2"/>
  <c r="O478" i="2"/>
  <c r="P477" i="2"/>
  <c r="O477" i="2"/>
  <c r="P476" i="2"/>
  <c r="O476" i="2"/>
  <c r="P475" i="2"/>
  <c r="O475" i="2"/>
  <c r="P474" i="2"/>
  <c r="O474" i="2"/>
  <c r="P473" i="2"/>
  <c r="O473" i="2"/>
  <c r="P472" i="2"/>
  <c r="O472" i="2"/>
  <c r="P471" i="2"/>
  <c r="O471" i="2"/>
  <c r="P470" i="2"/>
  <c r="O470" i="2"/>
  <c r="P469" i="2"/>
  <c r="O469" i="2"/>
  <c r="P468" i="2"/>
  <c r="O468" i="2"/>
  <c r="P467" i="2"/>
  <c r="O467" i="2"/>
  <c r="P466" i="2"/>
  <c r="O466" i="2"/>
  <c r="P465" i="2"/>
  <c r="O465" i="2"/>
  <c r="P464" i="2"/>
  <c r="O464" i="2"/>
  <c r="P463" i="2"/>
  <c r="O463" i="2"/>
  <c r="P462" i="2"/>
  <c r="O462" i="2"/>
  <c r="P461" i="2"/>
  <c r="O461" i="2"/>
  <c r="P460" i="2"/>
  <c r="O460" i="2"/>
  <c r="P459" i="2"/>
  <c r="O459" i="2"/>
  <c r="P458" i="2"/>
  <c r="O458" i="2"/>
  <c r="P457" i="2"/>
  <c r="O457" i="2"/>
  <c r="P456" i="2"/>
  <c r="O456" i="2"/>
  <c r="P455" i="2"/>
  <c r="O455" i="2"/>
  <c r="P454" i="2"/>
  <c r="O454" i="2"/>
  <c r="P453" i="2"/>
  <c r="O453" i="2"/>
  <c r="P452" i="2"/>
  <c r="O452" i="2"/>
  <c r="P451" i="2"/>
  <c r="O451" i="2"/>
  <c r="P450" i="2"/>
  <c r="O450" i="2"/>
  <c r="P449" i="2"/>
  <c r="O449" i="2"/>
  <c r="P448" i="2"/>
  <c r="O448" i="2"/>
  <c r="P447" i="2"/>
  <c r="O447" i="2"/>
  <c r="P446" i="2"/>
  <c r="O446" i="2"/>
  <c r="P445" i="2"/>
  <c r="O445" i="2"/>
  <c r="P444" i="2"/>
  <c r="O444" i="2"/>
  <c r="P443" i="2"/>
  <c r="O443" i="2"/>
  <c r="P442" i="2"/>
  <c r="O442" i="2"/>
  <c r="P441" i="2"/>
  <c r="O441" i="2"/>
  <c r="P440" i="2"/>
  <c r="O440" i="2"/>
  <c r="P439" i="2"/>
  <c r="O439" i="2"/>
  <c r="P438" i="2"/>
  <c r="O438" i="2"/>
  <c r="P437" i="2"/>
  <c r="O437" i="2"/>
  <c r="P436" i="2"/>
  <c r="O436" i="2"/>
  <c r="P435" i="2"/>
  <c r="O435" i="2"/>
  <c r="P434" i="2"/>
  <c r="O434" i="2"/>
  <c r="P433" i="2"/>
  <c r="O433" i="2"/>
  <c r="P432" i="2"/>
  <c r="O432" i="2"/>
  <c r="P431" i="2"/>
  <c r="O431" i="2"/>
  <c r="P430" i="2"/>
  <c r="O430" i="2"/>
  <c r="P429" i="2"/>
  <c r="O429" i="2"/>
  <c r="P428" i="2"/>
  <c r="O428" i="2"/>
  <c r="P427" i="2"/>
  <c r="O427" i="2"/>
  <c r="P426" i="2"/>
  <c r="O426" i="2"/>
  <c r="P425" i="2"/>
  <c r="O425" i="2"/>
  <c r="P424" i="2"/>
  <c r="O424" i="2"/>
  <c r="P423" i="2"/>
  <c r="O423" i="2"/>
  <c r="P422" i="2"/>
  <c r="O422" i="2"/>
  <c r="P421" i="2"/>
  <c r="O421" i="2"/>
  <c r="P420" i="2"/>
  <c r="O420" i="2"/>
  <c r="P419" i="2"/>
  <c r="O419" i="2"/>
  <c r="P418" i="2"/>
  <c r="O418" i="2"/>
  <c r="P417" i="2"/>
  <c r="O417" i="2"/>
  <c r="P416" i="2"/>
  <c r="O416" i="2"/>
  <c r="P415" i="2"/>
  <c r="O415" i="2"/>
  <c r="P414" i="2"/>
  <c r="O414" i="2"/>
  <c r="P413" i="2"/>
  <c r="O413" i="2"/>
  <c r="P412" i="2"/>
  <c r="O412" i="2"/>
  <c r="P411" i="2"/>
  <c r="O411" i="2"/>
  <c r="P410" i="2"/>
  <c r="O410" i="2"/>
  <c r="P409" i="2"/>
  <c r="O409" i="2"/>
  <c r="P408" i="2"/>
  <c r="O408" i="2"/>
  <c r="P407" i="2"/>
  <c r="O407" i="2"/>
  <c r="P406" i="2"/>
  <c r="O406" i="2"/>
  <c r="P405" i="2"/>
  <c r="O405" i="2"/>
  <c r="P404" i="2"/>
  <c r="O404" i="2"/>
  <c r="P403" i="2"/>
  <c r="O403" i="2"/>
  <c r="P402" i="2"/>
  <c r="O402" i="2"/>
  <c r="P401" i="2"/>
  <c r="O401" i="2"/>
  <c r="P400" i="2"/>
  <c r="O400" i="2"/>
  <c r="P399" i="2"/>
  <c r="O399" i="2"/>
  <c r="P398" i="2"/>
  <c r="O398" i="2"/>
  <c r="P397" i="2"/>
  <c r="O397" i="2"/>
  <c r="P396" i="2"/>
  <c r="O396" i="2"/>
  <c r="P395" i="2"/>
  <c r="O395" i="2"/>
  <c r="P394" i="2"/>
  <c r="O394" i="2"/>
  <c r="P393" i="2"/>
  <c r="O393" i="2"/>
  <c r="P392" i="2"/>
  <c r="O392" i="2"/>
  <c r="P391" i="2"/>
  <c r="O391" i="2"/>
  <c r="P390" i="2"/>
  <c r="O390" i="2"/>
  <c r="P389" i="2"/>
  <c r="O389" i="2"/>
  <c r="P388" i="2"/>
  <c r="O388" i="2"/>
  <c r="P387" i="2"/>
  <c r="O387" i="2"/>
  <c r="P386" i="2"/>
  <c r="O386" i="2"/>
  <c r="P385" i="2"/>
  <c r="O385" i="2"/>
  <c r="P384" i="2"/>
  <c r="O384" i="2"/>
  <c r="P383" i="2"/>
  <c r="O383" i="2"/>
  <c r="P382" i="2"/>
  <c r="O382" i="2"/>
  <c r="P381" i="2"/>
  <c r="O381" i="2"/>
  <c r="P380" i="2"/>
  <c r="O380" i="2"/>
  <c r="P379" i="2"/>
  <c r="O379" i="2"/>
  <c r="P378" i="2"/>
  <c r="O378" i="2"/>
  <c r="P377" i="2"/>
  <c r="O377" i="2"/>
  <c r="P376" i="2"/>
  <c r="O376" i="2"/>
  <c r="P375" i="2"/>
  <c r="O375" i="2"/>
  <c r="P374" i="2"/>
  <c r="O374" i="2"/>
  <c r="P373" i="2"/>
  <c r="O373" i="2"/>
  <c r="P372" i="2"/>
  <c r="O372" i="2"/>
  <c r="P371" i="2"/>
  <c r="O371" i="2"/>
  <c r="P370" i="2"/>
  <c r="O370" i="2"/>
  <c r="P369" i="2"/>
  <c r="O369" i="2"/>
  <c r="P368" i="2"/>
  <c r="O368" i="2"/>
  <c r="P367" i="2"/>
  <c r="O367" i="2"/>
  <c r="P366" i="2"/>
  <c r="O366" i="2"/>
  <c r="P365" i="2"/>
  <c r="O365" i="2"/>
  <c r="P364" i="2"/>
  <c r="O364" i="2"/>
  <c r="P363" i="2"/>
  <c r="O363" i="2"/>
  <c r="P362" i="2"/>
  <c r="O362" i="2"/>
  <c r="P361" i="2"/>
  <c r="O361" i="2"/>
  <c r="P360" i="2"/>
  <c r="O360" i="2"/>
  <c r="P359" i="2"/>
  <c r="O359" i="2"/>
  <c r="P358" i="2"/>
  <c r="O358" i="2"/>
  <c r="P357" i="2"/>
  <c r="O357" i="2"/>
  <c r="P356" i="2"/>
  <c r="O356" i="2"/>
  <c r="P355" i="2"/>
  <c r="O355" i="2"/>
  <c r="P354" i="2"/>
  <c r="O354" i="2"/>
  <c r="P353" i="2"/>
  <c r="O353" i="2"/>
  <c r="P352" i="2"/>
  <c r="O352" i="2"/>
  <c r="P351" i="2"/>
  <c r="O351" i="2"/>
  <c r="P350" i="2"/>
  <c r="O350" i="2"/>
  <c r="P349" i="2"/>
  <c r="O349" i="2"/>
  <c r="P348" i="2"/>
  <c r="O348" i="2"/>
  <c r="P347" i="2"/>
  <c r="O347" i="2"/>
  <c r="P346" i="2"/>
  <c r="O346" i="2"/>
  <c r="P345" i="2"/>
  <c r="O345" i="2"/>
  <c r="P344" i="2"/>
  <c r="O344" i="2"/>
  <c r="P343" i="2"/>
  <c r="O343" i="2"/>
  <c r="P342" i="2"/>
  <c r="O342" i="2"/>
  <c r="P341" i="2"/>
  <c r="O341" i="2"/>
  <c r="P340" i="2"/>
  <c r="O340" i="2"/>
  <c r="P339" i="2"/>
  <c r="O339" i="2"/>
  <c r="P338" i="2"/>
  <c r="O338" i="2"/>
  <c r="P337" i="2"/>
  <c r="O337" i="2"/>
  <c r="P336" i="2"/>
  <c r="O336" i="2"/>
  <c r="P335" i="2"/>
  <c r="O335" i="2"/>
  <c r="P334" i="2"/>
  <c r="O334" i="2"/>
  <c r="P333" i="2"/>
  <c r="O333" i="2"/>
  <c r="P332" i="2"/>
  <c r="O332" i="2"/>
  <c r="P331" i="2"/>
  <c r="O331" i="2"/>
  <c r="P330" i="2"/>
  <c r="O330" i="2"/>
  <c r="P329" i="2"/>
  <c r="O329" i="2"/>
  <c r="P328" i="2"/>
  <c r="O328" i="2"/>
  <c r="P327" i="2"/>
  <c r="O327" i="2"/>
  <c r="P326" i="2"/>
  <c r="O326" i="2"/>
  <c r="P325" i="2"/>
  <c r="O325" i="2"/>
  <c r="P324" i="2"/>
  <c r="O324" i="2"/>
  <c r="P323" i="2"/>
  <c r="O323" i="2"/>
  <c r="P322" i="2"/>
  <c r="O322" i="2"/>
  <c r="P321" i="2"/>
  <c r="O321" i="2"/>
  <c r="P320" i="2"/>
  <c r="O320" i="2"/>
  <c r="P319" i="2"/>
  <c r="O319" i="2"/>
  <c r="P318" i="2"/>
  <c r="O318" i="2"/>
  <c r="P317" i="2"/>
  <c r="O317" i="2"/>
  <c r="P316" i="2"/>
  <c r="O316" i="2"/>
  <c r="P315" i="2"/>
  <c r="O315" i="2"/>
  <c r="P314" i="2"/>
  <c r="O314" i="2"/>
  <c r="P313" i="2"/>
  <c r="O313" i="2"/>
  <c r="P312" i="2"/>
  <c r="O312" i="2"/>
  <c r="P311" i="2"/>
  <c r="O311" i="2"/>
  <c r="P310" i="2"/>
  <c r="O310" i="2"/>
  <c r="P309" i="2"/>
  <c r="O309" i="2"/>
  <c r="P308" i="2"/>
  <c r="O308" i="2"/>
  <c r="P307" i="2"/>
  <c r="O307" i="2"/>
  <c r="P306" i="2"/>
  <c r="O306" i="2"/>
  <c r="P305" i="2"/>
  <c r="O305" i="2"/>
  <c r="P304" i="2"/>
  <c r="O304" i="2"/>
  <c r="P303" i="2"/>
  <c r="O303" i="2"/>
  <c r="P302" i="2"/>
  <c r="O302" i="2"/>
  <c r="P301" i="2"/>
  <c r="O301" i="2"/>
  <c r="P300" i="2"/>
  <c r="O300" i="2"/>
  <c r="P299" i="2"/>
  <c r="O299" i="2"/>
  <c r="P298" i="2"/>
  <c r="O298" i="2"/>
  <c r="P297" i="2"/>
  <c r="O297" i="2"/>
  <c r="P296" i="2"/>
  <c r="O296" i="2"/>
  <c r="P295" i="2"/>
  <c r="O295" i="2"/>
  <c r="P294" i="2"/>
  <c r="O294" i="2"/>
  <c r="P293" i="2"/>
  <c r="O293" i="2"/>
  <c r="P292" i="2"/>
  <c r="O292" i="2"/>
  <c r="P291" i="2"/>
  <c r="O291" i="2"/>
  <c r="P290" i="2"/>
  <c r="O290" i="2"/>
  <c r="P289" i="2"/>
  <c r="O289" i="2"/>
  <c r="P288" i="2"/>
  <c r="O288" i="2"/>
  <c r="P287" i="2"/>
  <c r="O287" i="2"/>
  <c r="P286" i="2"/>
  <c r="O286" i="2"/>
  <c r="P285" i="2"/>
  <c r="O285" i="2"/>
  <c r="P284" i="2"/>
  <c r="O284" i="2"/>
  <c r="P283" i="2"/>
  <c r="O283" i="2"/>
  <c r="P282" i="2"/>
  <c r="O282" i="2"/>
  <c r="P281" i="2"/>
  <c r="O281" i="2"/>
  <c r="P280" i="2"/>
  <c r="O280" i="2"/>
  <c r="P279" i="2"/>
  <c r="O279" i="2"/>
  <c r="P278" i="2"/>
  <c r="O278" i="2"/>
  <c r="P277" i="2"/>
  <c r="O277" i="2"/>
  <c r="P276" i="2"/>
  <c r="O276" i="2"/>
  <c r="P275" i="2"/>
  <c r="O275" i="2"/>
  <c r="P274" i="2"/>
  <c r="O274" i="2"/>
  <c r="P273" i="2"/>
  <c r="O273" i="2"/>
  <c r="P272" i="2"/>
  <c r="O272" i="2"/>
  <c r="P271" i="2"/>
  <c r="O271" i="2"/>
  <c r="P270" i="2"/>
  <c r="O270" i="2"/>
  <c r="P269" i="2"/>
  <c r="O269" i="2"/>
  <c r="P268" i="2"/>
  <c r="O268" i="2"/>
  <c r="P267" i="2"/>
  <c r="O267" i="2"/>
  <c r="P266" i="2"/>
  <c r="O266" i="2"/>
  <c r="P265" i="2"/>
  <c r="O265" i="2"/>
  <c r="P264" i="2"/>
  <c r="O264" i="2"/>
  <c r="P263" i="2"/>
  <c r="O263" i="2"/>
  <c r="P262" i="2"/>
  <c r="O262" i="2"/>
  <c r="P261" i="2"/>
  <c r="O261" i="2"/>
  <c r="P260" i="2"/>
  <c r="O260" i="2"/>
  <c r="P259" i="2"/>
  <c r="O259" i="2"/>
  <c r="P258" i="2"/>
  <c r="O258" i="2"/>
  <c r="P257" i="2"/>
  <c r="O257" i="2"/>
  <c r="P256" i="2"/>
  <c r="O256" i="2"/>
  <c r="P255" i="2"/>
  <c r="O255" i="2"/>
  <c r="P254" i="2"/>
  <c r="O254" i="2"/>
  <c r="P253" i="2"/>
  <c r="O253" i="2"/>
  <c r="P252" i="2"/>
  <c r="O252" i="2"/>
  <c r="P251" i="2"/>
  <c r="O251" i="2"/>
  <c r="P250" i="2"/>
  <c r="O250" i="2"/>
  <c r="P249" i="2"/>
  <c r="O249" i="2"/>
  <c r="P248" i="2"/>
  <c r="O248" i="2"/>
  <c r="P247" i="2"/>
  <c r="O247" i="2"/>
  <c r="P246" i="2"/>
  <c r="O246" i="2"/>
  <c r="P245" i="2"/>
  <c r="O245" i="2"/>
  <c r="P244" i="2"/>
  <c r="O244" i="2"/>
  <c r="P243" i="2"/>
  <c r="O243" i="2"/>
  <c r="P242" i="2"/>
  <c r="O242" i="2"/>
  <c r="P241" i="2"/>
  <c r="O241" i="2"/>
  <c r="P240" i="2"/>
  <c r="O240" i="2"/>
  <c r="P239" i="2"/>
  <c r="O239" i="2"/>
  <c r="P238" i="2"/>
  <c r="O238" i="2"/>
  <c r="P237" i="2"/>
  <c r="O237" i="2"/>
  <c r="P236" i="2"/>
  <c r="O236" i="2"/>
  <c r="P235" i="2"/>
  <c r="O235" i="2"/>
  <c r="P234" i="2"/>
  <c r="O234" i="2"/>
  <c r="P233" i="2"/>
  <c r="O233" i="2"/>
  <c r="P232" i="2"/>
  <c r="O232" i="2"/>
  <c r="P231" i="2"/>
  <c r="O231" i="2"/>
  <c r="P230" i="2"/>
  <c r="O230" i="2"/>
  <c r="P229" i="2"/>
  <c r="O229" i="2"/>
  <c r="P228" i="2"/>
  <c r="O228" i="2"/>
  <c r="P227" i="2"/>
  <c r="O227" i="2"/>
  <c r="P226" i="2"/>
  <c r="O226" i="2"/>
  <c r="P225" i="2"/>
  <c r="O225" i="2"/>
  <c r="P224" i="2"/>
  <c r="O224" i="2"/>
  <c r="P223" i="2"/>
  <c r="O223" i="2"/>
  <c r="P222" i="2"/>
  <c r="O222" i="2"/>
  <c r="P221" i="2"/>
  <c r="O221" i="2"/>
  <c r="P220" i="2"/>
  <c r="O220" i="2"/>
  <c r="P219" i="2"/>
  <c r="O219" i="2"/>
  <c r="P218" i="2"/>
  <c r="O218" i="2"/>
  <c r="P217" i="2"/>
  <c r="O217" i="2"/>
  <c r="P216" i="2"/>
  <c r="O216" i="2"/>
  <c r="P215" i="2"/>
  <c r="O215" i="2"/>
  <c r="P214" i="2"/>
  <c r="O214" i="2"/>
  <c r="P213" i="2"/>
  <c r="O213" i="2"/>
  <c r="P212" i="2"/>
  <c r="O212" i="2"/>
  <c r="P211" i="2"/>
  <c r="O211" i="2"/>
  <c r="P210" i="2"/>
  <c r="O210" i="2"/>
  <c r="P209" i="2"/>
  <c r="O209" i="2"/>
  <c r="P208" i="2"/>
  <c r="O208" i="2"/>
  <c r="P207" i="2"/>
  <c r="O207" i="2"/>
  <c r="P206" i="2"/>
  <c r="O206" i="2"/>
  <c r="P205" i="2"/>
  <c r="O205" i="2"/>
  <c r="P204" i="2"/>
  <c r="O204" i="2"/>
  <c r="P203" i="2"/>
  <c r="O203" i="2"/>
  <c r="P202" i="2"/>
  <c r="O202" i="2"/>
  <c r="P201" i="2"/>
  <c r="O201" i="2"/>
  <c r="P200" i="2"/>
  <c r="O200" i="2"/>
  <c r="P199" i="2"/>
  <c r="O199" i="2"/>
  <c r="P198" i="2"/>
  <c r="O198" i="2"/>
  <c r="P197" i="2"/>
  <c r="O197" i="2"/>
  <c r="P196" i="2"/>
  <c r="O196" i="2"/>
  <c r="P195" i="2"/>
  <c r="O195" i="2"/>
  <c r="P194" i="2"/>
  <c r="O194" i="2"/>
  <c r="P193" i="2"/>
  <c r="O193" i="2"/>
  <c r="P192" i="2"/>
  <c r="O192" i="2"/>
  <c r="P191" i="2"/>
  <c r="O191" i="2"/>
  <c r="P190" i="2"/>
  <c r="O190" i="2"/>
  <c r="P189" i="2"/>
  <c r="O189" i="2"/>
  <c r="P188" i="2"/>
  <c r="O188" i="2"/>
  <c r="P187" i="2"/>
  <c r="O187" i="2"/>
  <c r="P186" i="2"/>
  <c r="O186" i="2"/>
  <c r="P185" i="2"/>
  <c r="O185" i="2"/>
  <c r="P184" i="2"/>
  <c r="O184" i="2"/>
  <c r="P183" i="2"/>
  <c r="O183" i="2"/>
  <c r="P182" i="2"/>
  <c r="O182" i="2"/>
  <c r="P181" i="2"/>
  <c r="O181" i="2"/>
  <c r="P180" i="2"/>
  <c r="O180" i="2"/>
  <c r="P179" i="2"/>
  <c r="O179" i="2"/>
  <c r="P178" i="2"/>
  <c r="O178" i="2"/>
  <c r="P177" i="2"/>
  <c r="O177" i="2"/>
  <c r="P176" i="2"/>
  <c r="O176" i="2"/>
  <c r="P175" i="2"/>
  <c r="O175" i="2"/>
  <c r="P174" i="2"/>
  <c r="O174" i="2"/>
  <c r="P173" i="2"/>
  <c r="O173" i="2"/>
  <c r="P172" i="2"/>
  <c r="O172" i="2"/>
  <c r="P171" i="2"/>
  <c r="O171" i="2"/>
  <c r="P170" i="2"/>
  <c r="O170" i="2"/>
  <c r="P169" i="2"/>
  <c r="O169" i="2"/>
  <c r="P168" i="2"/>
  <c r="O168" i="2"/>
  <c r="P167" i="2"/>
  <c r="O167" i="2"/>
  <c r="P166" i="2"/>
  <c r="O166" i="2"/>
  <c r="P165" i="2"/>
  <c r="O165" i="2"/>
  <c r="P164" i="2"/>
  <c r="O164" i="2"/>
  <c r="P163" i="2"/>
  <c r="O163" i="2"/>
  <c r="P162" i="2"/>
  <c r="O162" i="2"/>
  <c r="P161" i="2"/>
  <c r="O161" i="2"/>
  <c r="P160" i="2"/>
  <c r="O160" i="2"/>
  <c r="P159" i="2"/>
  <c r="O159" i="2"/>
  <c r="P158" i="2"/>
  <c r="O158" i="2"/>
  <c r="P157" i="2"/>
  <c r="O157" i="2"/>
  <c r="P156" i="2"/>
  <c r="O156" i="2"/>
  <c r="P155" i="2"/>
  <c r="O155" i="2"/>
  <c r="P154" i="2"/>
  <c r="O154" i="2"/>
  <c r="P153" i="2"/>
  <c r="O153" i="2"/>
  <c r="P152" i="2"/>
  <c r="O152" i="2"/>
  <c r="P151" i="2"/>
  <c r="O151" i="2"/>
  <c r="P150" i="2"/>
  <c r="O150" i="2"/>
  <c r="P149" i="2"/>
  <c r="O149" i="2"/>
  <c r="P148" i="2"/>
  <c r="O148" i="2"/>
  <c r="P147" i="2"/>
  <c r="O147" i="2"/>
  <c r="P146" i="2"/>
  <c r="O146" i="2"/>
  <c r="P145" i="2"/>
  <c r="O145" i="2"/>
  <c r="P144" i="2"/>
  <c r="O144" i="2"/>
  <c r="P143" i="2"/>
  <c r="O143" i="2"/>
  <c r="P142" i="2"/>
  <c r="O142" i="2"/>
  <c r="P141" i="2"/>
  <c r="O141" i="2"/>
  <c r="P140" i="2"/>
  <c r="O140" i="2"/>
  <c r="P139" i="2"/>
  <c r="O139" i="2"/>
  <c r="P138" i="2"/>
  <c r="O138" i="2"/>
  <c r="P137" i="2"/>
  <c r="O137" i="2"/>
  <c r="P136" i="2"/>
  <c r="O136" i="2"/>
  <c r="P135" i="2"/>
  <c r="O135" i="2"/>
  <c r="P134" i="2"/>
  <c r="O134" i="2"/>
  <c r="P133" i="2"/>
  <c r="O133" i="2"/>
  <c r="P132" i="2"/>
  <c r="O132" i="2"/>
  <c r="P131" i="2"/>
  <c r="O131" i="2"/>
  <c r="P130" i="2"/>
  <c r="O130" i="2"/>
  <c r="P129" i="2"/>
  <c r="O129" i="2"/>
  <c r="P128" i="2"/>
  <c r="O128" i="2"/>
  <c r="P127" i="2"/>
  <c r="O127" i="2"/>
  <c r="P126" i="2"/>
  <c r="O126" i="2"/>
  <c r="P125" i="2"/>
  <c r="O125" i="2"/>
  <c r="P124" i="2"/>
  <c r="O124" i="2"/>
  <c r="P123" i="2"/>
  <c r="O123" i="2"/>
  <c r="P122" i="2"/>
  <c r="O122" i="2"/>
  <c r="P121" i="2"/>
  <c r="O121" i="2"/>
  <c r="P120" i="2"/>
  <c r="O120" i="2"/>
  <c r="P119" i="2"/>
  <c r="O119" i="2"/>
  <c r="P118" i="2"/>
  <c r="O118" i="2"/>
  <c r="P117" i="2"/>
  <c r="O117" i="2"/>
  <c r="P116" i="2"/>
  <c r="O116" i="2"/>
  <c r="P115" i="2"/>
  <c r="O115" i="2"/>
  <c r="P114" i="2"/>
  <c r="O114" i="2"/>
  <c r="P113" i="2"/>
  <c r="O113" i="2"/>
  <c r="P112" i="2"/>
  <c r="O112" i="2"/>
  <c r="P111" i="2"/>
  <c r="O111" i="2"/>
  <c r="P110" i="2"/>
  <c r="O110" i="2"/>
  <c r="P109" i="2"/>
  <c r="O109" i="2"/>
  <c r="P108" i="2"/>
  <c r="O108" i="2"/>
  <c r="P107" i="2"/>
  <c r="O107" i="2"/>
  <c r="P106" i="2"/>
  <c r="O106" i="2"/>
  <c r="P105" i="2"/>
  <c r="O105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8" i="2"/>
  <c r="O98" i="2"/>
  <c r="P97" i="2"/>
  <c r="O97" i="2"/>
  <c r="P96" i="2"/>
  <c r="O96" i="2"/>
  <c r="P95" i="2"/>
  <c r="O95" i="2"/>
  <c r="P94" i="2"/>
  <c r="O94" i="2"/>
  <c r="P93" i="2"/>
  <c r="O93" i="2"/>
  <c r="P92" i="2"/>
  <c r="O92" i="2"/>
  <c r="P91" i="2"/>
  <c r="O91" i="2"/>
  <c r="P90" i="2"/>
  <c r="O90" i="2"/>
  <c r="P89" i="2"/>
  <c r="O89" i="2"/>
  <c r="P88" i="2"/>
  <c r="O88" i="2"/>
  <c r="P87" i="2"/>
  <c r="O87" i="2"/>
  <c r="P86" i="2"/>
  <c r="O86" i="2"/>
  <c r="P85" i="2"/>
  <c r="O85" i="2"/>
  <c r="P84" i="2"/>
  <c r="O84" i="2"/>
  <c r="P83" i="2"/>
  <c r="O83" i="2"/>
  <c r="P82" i="2"/>
  <c r="O82" i="2"/>
  <c r="P81" i="2"/>
  <c r="O81" i="2"/>
  <c r="P80" i="2"/>
  <c r="O80" i="2"/>
  <c r="P79" i="2"/>
  <c r="O79" i="2"/>
  <c r="P78" i="2"/>
  <c r="O78" i="2"/>
  <c r="P77" i="2"/>
  <c r="O77" i="2"/>
  <c r="P76" i="2"/>
  <c r="O76" i="2"/>
  <c r="P75" i="2"/>
  <c r="O75" i="2"/>
  <c r="P74" i="2"/>
  <c r="O74" i="2"/>
  <c r="P73" i="2"/>
  <c r="O73" i="2"/>
  <c r="P72" i="2"/>
  <c r="O72" i="2"/>
  <c r="P71" i="2"/>
  <c r="O71" i="2"/>
  <c r="P70" i="2"/>
  <c r="O70" i="2"/>
  <c r="P69" i="2"/>
  <c r="O69" i="2"/>
  <c r="P68" i="2"/>
  <c r="O68" i="2"/>
  <c r="P67" i="2"/>
  <c r="O67" i="2"/>
  <c r="P66" i="2"/>
  <c r="O66" i="2"/>
  <c r="P65" i="2"/>
  <c r="O65" i="2"/>
  <c r="P64" i="2"/>
  <c r="O64" i="2"/>
  <c r="P63" i="2"/>
  <c r="O63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3" i="2"/>
  <c r="O53" i="2"/>
  <c r="P52" i="2"/>
  <c r="O52" i="2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O3" i="2"/>
  <c r="P2" i="2"/>
  <c r="O2" i="2"/>
  <c r="G9" i="7" l="1"/>
  <c r="E9" i="7"/>
  <c r="F9" i="7"/>
  <c r="E22" i="9"/>
  <c r="H22" i="9" s="1"/>
  <c r="G8" i="7"/>
  <c r="E8" i="7"/>
  <c r="E7" i="7"/>
  <c r="G7" i="7"/>
  <c r="E20" i="9"/>
  <c r="H20" i="9" s="1"/>
  <c r="G6" i="7"/>
  <c r="E6" i="7"/>
  <c r="E21" i="9"/>
  <c r="H21" i="9" s="1"/>
  <c r="E18" i="9"/>
  <c r="H18" i="9" s="1"/>
  <c r="G5" i="7"/>
  <c r="E5" i="7"/>
  <c r="E4" i="7"/>
  <c r="G4" i="7"/>
  <c r="G3" i="7"/>
  <c r="E3" i="7"/>
  <c r="E15" i="9"/>
  <c r="H15" i="9" s="1"/>
  <c r="E16" i="9"/>
  <c r="H16" i="9" s="1"/>
  <c r="F3" i="7"/>
  <c r="E29" i="9"/>
  <c r="H29" i="9" s="1"/>
  <c r="E28" i="9"/>
  <c r="H28" i="9" s="1"/>
  <c r="C17" i="3"/>
  <c r="E8" i="9"/>
  <c r="H7" i="9"/>
  <c r="C4" i="8"/>
  <c r="D11" i="4"/>
  <c r="E30" i="9"/>
  <c r="H30" i="9" s="1"/>
  <c r="H13" i="3"/>
  <c r="H14" i="3" s="1"/>
  <c r="H7" i="3"/>
  <c r="H8" i="3" s="1"/>
  <c r="H9" i="3"/>
  <c r="H10" i="3" s="1"/>
  <c r="H11" i="3"/>
  <c r="H12" i="3" s="1"/>
  <c r="D9" i="4"/>
  <c r="D8" i="4" a="1"/>
  <c r="D8" i="4" s="1"/>
  <c r="D7" i="4"/>
  <c r="D10" i="4"/>
  <c r="E19" i="9" l="1"/>
  <c r="H19" i="9" s="1"/>
  <c r="E17" i="9"/>
  <c r="H17" i="9" s="1"/>
  <c r="E27" i="9"/>
  <c r="H27" i="9" s="1"/>
  <c r="H8" i="9"/>
  <c r="E9" i="9"/>
  <c r="H9" i="9" s="1"/>
  <c r="E25" i="9"/>
  <c r="H25" i="9" s="1"/>
  <c r="E14" i="9"/>
  <c r="H14" i="9" s="1"/>
  <c r="E12" i="9"/>
  <c r="H12" i="9" s="1"/>
  <c r="E11" i="9"/>
  <c r="H11" i="9" s="1"/>
  <c r="E13" i="9"/>
  <c r="H13" i="9" s="1"/>
  <c r="E24" i="9"/>
  <c r="H24" i="9" s="1"/>
  <c r="B3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988" authorId="0" shapeId="0" xr:uid="{00000000-0006-0000-0100-000001000000}">
      <text>
        <r>
          <rPr>
            <sz val="10"/>
            <rFont val="Arial"/>
            <family val="2"/>
          </rPr>
          <t>======
ID#AAAAiY6yeDk
Leonardo Andreucci    (2022-10-27 21:34:16)
Talvez desista</t>
        </r>
      </text>
    </comment>
  </commentList>
</comments>
</file>

<file path=xl/sharedStrings.xml><?xml version="1.0" encoding="utf-8"?>
<sst xmlns="http://schemas.openxmlformats.org/spreadsheetml/2006/main" count="6101" uniqueCount="235">
  <si>
    <t>Case BZR Group — Pricing &amp; PM Analyst Jr.</t>
  </si>
  <si>
    <t>Segue uma extração da base de potenciais clientes (aba DataBase) para que você analise uma operação fictícia de Home Equity (empréstimos com garantia de imóvel). O case simula uma situação real do dia-a-dia da nossa mesa: você acabou de receber uma base de clientes aprovados em análise de crédito e precisa nos dar uma leitura do que está acontecendo.</t>
  </si>
  <si>
    <t>Sobre os dados</t>
  </si>
  <si>
    <t>A base contém dados fictícios de clientes que estão buscando um empréstimo com garantia de imóvel e foram aprovados na análise de crédito (credit_approval). A coluna 'closed_at' indica a data de fechamento da operação do empréstimo (quando preenchida).</t>
  </si>
  <si>
    <t>Regras</t>
  </si>
  <si>
    <t>• O teste deve ser resolvido utilizando somente os dados presentes neste arquivo.</t>
  </si>
  <si>
    <t>• Explicite o raciocínio utilizado para chegar às respostas, mantendo cálculos e fórmulas vivas.</t>
  </si>
  <si>
    <t>• Você pode assumir o que julgar necessário. Quando assumir, deixe explícito.</t>
  </si>
  <si>
    <t>• Você pode (e deve) criar abas adicionais para responder as questões. Não apague as abas originais.</t>
  </si>
  <si>
    <t>• Uso de IA: é oportuno usar IA (Claude, ChatGPT, Gemini, Copilot — sua escolha) na resolução do case. Use para análise de dados, geração de visualizações, revisão de texto, o que precisar. Documentar seu uso na aba 'AI_Log' é opcional, mas valorizamos. Importante: na entrevista de defesa do case, vamos te perguntar por que escolheu cada conclusão — então use a IA como copiloto, não como piloto automático.</t>
  </si>
  <si>
    <t>Questões</t>
  </si>
  <si>
    <t>Q1. Preencha a área em amarelo da aba 'Q1 - Summary' com os dados da 'DataBase'. Quais conclusões podem ser tiradas?</t>
  </si>
  <si>
    <t>Q2. Qual o canal mais relevante em termos de volume? E em termos de conversão? Pense que você ocupa o cargo de Strategic Planner de uma startup que precisa crescer rápido — como você distribuiria os investimentos entre os canais? (Lembre-se que não há uma resposta única; o importante é deixar claro seu raciocínio e tomada de decisão.)</t>
  </si>
  <si>
    <t>Q3. Imagine que você foi designado para ser o Manager de Operações e precisa definir o processo da operação desde a aprovação do crédito até a transferência de valores ao cliente. Um processo bem desenhado e controlado é vital para o sucesso da empresa. Desenhe as etapas principais do processo (pode utilizar algo simples como na aba Q3) e explicite os principais indicadores que você usaria para controlar a operação.</t>
  </si>
  <si>
    <t>Q4. Antes de calcular qualquer métrica, é prudente checar a saúde da base. Olhando os dados, você identifica algum problema de qualidade ou inconsistência? Liste o que encontrou (mínimo 2 itens, sem máximo) e diga, de forma curta, como você tratou ou trataria cada um.</t>
  </si>
  <si>
    <t>Deixe os cálculos e fórmulas utilizados.</t>
  </si>
  <si>
    <t>id</t>
  </si>
  <si>
    <t>credit_approval</t>
  </si>
  <si>
    <t>closed_at</t>
  </si>
  <si>
    <t>state</t>
  </si>
  <si>
    <t>monthly_income</t>
  </si>
  <si>
    <t>loan_term</t>
  </si>
  <si>
    <t>credit_score</t>
  </si>
  <si>
    <t>property_value</t>
  </si>
  <si>
    <t>loan_amount</t>
  </si>
  <si>
    <t>property_type</t>
  </si>
  <si>
    <t>customer_age</t>
  </si>
  <si>
    <t>reason</t>
  </si>
  <si>
    <t>channel</t>
  </si>
  <si>
    <t>profession_type</t>
  </si>
  <si>
    <t>property_type_norm</t>
  </si>
  <si>
    <t>is_closed_valid</t>
  </si>
  <si>
    <t>SP</t>
  </si>
  <si>
    <t>apartment</t>
  </si>
  <si>
    <t>debts_refinancing</t>
  </si>
  <si>
    <t>offline</t>
  </si>
  <si>
    <t>businessman</t>
  </si>
  <si>
    <t>house</t>
  </si>
  <si>
    <t>debts_payment</t>
  </si>
  <si>
    <t>organic</t>
  </si>
  <si>
    <t>freelancer</t>
  </si>
  <si>
    <t>investment_in_own_business</t>
  </si>
  <si>
    <t>clt</t>
  </si>
  <si>
    <t>retired</t>
  </si>
  <si>
    <t>MG</t>
  </si>
  <si>
    <t>others</t>
  </si>
  <si>
    <t>SC</t>
  </si>
  <si>
    <t>Commercial</t>
  </si>
  <si>
    <t>other</t>
  </si>
  <si>
    <t>PR</t>
  </si>
  <si>
    <t>public_employee</t>
  </si>
  <si>
    <t>self_employed</t>
  </si>
  <si>
    <t>CE</t>
  </si>
  <si>
    <t>commercial</t>
  </si>
  <si>
    <t>social_media</t>
  </si>
  <si>
    <t>RS</t>
  </si>
  <si>
    <t>MS</t>
  </si>
  <si>
    <t>DF</t>
  </si>
  <si>
    <t>RJ</t>
  </si>
  <si>
    <t>real_estate_renovation</t>
  </si>
  <si>
    <t>land</t>
  </si>
  <si>
    <t>ES</t>
  </si>
  <si>
    <t>apto</t>
  </si>
  <si>
    <t>TO</t>
  </si>
  <si>
    <t>goods_acquisition</t>
  </si>
  <si>
    <t>BA</t>
  </si>
  <si>
    <t>GO</t>
  </si>
  <si>
    <t>remarketing</t>
  </si>
  <si>
    <t>PI</t>
  </si>
  <si>
    <t>PE</t>
  </si>
  <si>
    <t>Apartment</t>
  </si>
  <si>
    <t>HOUSE</t>
  </si>
  <si>
    <t>affiliates</t>
  </si>
  <si>
    <t>Casa</t>
  </si>
  <si>
    <t>AL</t>
  </si>
  <si>
    <t>Apartamento</t>
  </si>
  <si>
    <t>MT</t>
  </si>
  <si>
    <t>MA</t>
  </si>
  <si>
    <t>PB</t>
  </si>
  <si>
    <t>casa</t>
  </si>
  <si>
    <t>AP</t>
  </si>
  <si>
    <t>RO</t>
  </si>
  <si>
    <t>AM</t>
  </si>
  <si>
    <t>SE</t>
  </si>
  <si>
    <t>PA</t>
  </si>
  <si>
    <t>RN</t>
  </si>
  <si>
    <t>APARTMENT</t>
  </si>
  <si>
    <t>Home Equity</t>
  </si>
  <si>
    <t>Período</t>
  </si>
  <si>
    <t>Q3-2024</t>
  </si>
  <si>
    <t>Q4-2024</t>
  </si>
  <si>
    <t>Q1-2025</t>
  </si>
  <si>
    <t>Q2-2025</t>
  </si>
  <si>
    <t>Q3-2025</t>
  </si>
  <si>
    <t>Q4-2025</t>
  </si>
  <si>
    <t>Credit Approved ($)</t>
  </si>
  <si>
    <t>property types</t>
  </si>
  <si>
    <t>house ($)</t>
  </si>
  <si>
    <t xml:space="preserve">  % of credit approved</t>
  </si>
  <si>
    <t>apartment ($)</t>
  </si>
  <si>
    <t>other ($)</t>
  </si>
  <si>
    <t>NULL (blank information)</t>
  </si>
  <si>
    <t>Closed operations ($)</t>
  </si>
  <si>
    <t xml:space="preserve">  %  (closed / credit approved)</t>
  </si>
  <si>
    <t>Análises e Conclusões</t>
  </si>
  <si>
    <t>Crescimento consistente do credito aprovado a cada trimestre (R$ 9,0M em Q3-24 ate R$ 62,9M em Q4-25, alta de ~7x em 6 trimestres), puxado majoritariamente por apartamentos (45-58% do volume) e casas (35-43%); 'outros' (comercial/terreno) e registros sem tipo informado sao marginais e o 'sem tipo' vem caindo (de 3,0% para 0% do volume, sinal de cadastro melhorando). A % fechado/aprovado cai de 63% (Q3-24) para ~20-21% (Q3/Q4-25): parte e efeito natural de safra (operacoes recentes ainda nao tiveram tempo de fechar - mediana de 56 dias entre aprovacao e fechamento), mas a queda persiste mesmo em Q3-2025, que ja teve 6+ meses de maturacao ate o corte dos dados (mar/2026) - isso sugere tambem uma desaceleracao real no funil de fechamento, nao so efeito de safra. Ha tambem uma limitacao de qualidade de dado que afeta a leitura de 'fechado': closed_at esta em branco em ~68% das linhas e 11 registros tem closed_at anterior a credit_approval (tratados aqui como nao fechados). Ver aba 'Q4 - Qualidade de Dados' para detalhe.</t>
  </si>
  <si>
    <t>1. Aprovacao de credito</t>
  </si>
  <si>
    <t>2. Due diligence do imovel</t>
  </si>
  <si>
    <t>3. Formalizacao e assinatura</t>
  </si>
  <si>
    <t>4. Liberacao de recursos</t>
  </si>
  <si>
    <t>Analise de credito aprova o cliente (credit_approval). Cadastro do imovel dado em garantia e registrado.</t>
  </si>
  <si>
    <t>Avaliacao do imovel (laudo de garantia), checagem de matricula/onus e documentacao do cliente.</t>
  </si>
  <si>
    <t>Elaboracao do contrato, assinatura das partes e registro do gravame/garantia em cartorio.</t>
  </si>
  <si>
    <t>Liberacao/transferencia do valor ao cliente (closed_at) apos confirmacao do registro.</t>
  </si>
  <si>
    <t>Indicadores de controle da operacao</t>
  </si>
  <si>
    <t>Lead time medio aprovacao -&gt; fechamento (dias)</t>
  </si>
  <si>
    <t>Lead time mediano (dias)</t>
  </si>
  <si>
    <t>Taxa de conversao aprovacao -&gt; fechamento (%)</t>
  </si>
  <si>
    <t>Operacoes aprovadas ainda nao fechadas (pipeline aberto)</t>
  </si>
  <si>
    <t>% de fechamentos com data inconsistente (closed_at &lt; aprovacao)</t>
  </si>
  <si>
    <t>AI Log (opcional)</t>
  </si>
  <si>
    <t>Se quiser, registre aqui os 2-5 prompts mais importantes que você usou e o que decidiu fazer com a resposta da IA (aceitar, ajustar, descartar). Não é obrigatório, mas conta como sinal positivo na avaliação.</t>
  </si>
  <si>
    <t>Questão</t>
  </si>
  <si>
    <t>Ferramenta</t>
  </si>
  <si>
    <t>Prompt enviado (resumo)</t>
  </si>
  <si>
    <t>Decisão a partir da resposta</t>
  </si>
  <si>
    <t>Q1/Q3/Q4</t>
  </si>
  <si>
    <t>Claude (Cowork)</t>
  </si>
  <si>
    <t>Ler a aba DataBase sem nunca usar Read/cat direto no arquivo bruto; so perfilamento agregado (shape, dtypes, nunique, min/max) via script Python.</t>
  </si>
  <si>
    <t>Aceito - todo o projeto seguiu essa regra; nenhuma linha crua da base apareceu no chat.</t>
  </si>
  <si>
    <t>Geral</t>
  </si>
  <si>
    <t>Perfilar profundamente a DataBase (nulos, duplicatas, datas invalidas, grafias de property_type, LTV&gt;100%, idade invalida) so com contagens agregadas.</t>
  </si>
  <si>
    <t>Aceito e usado como base do Q4; numeros conferidos com formula viva no proprio Excel.</t>
  </si>
  <si>
    <t>Q1</t>
  </si>
  <si>
    <t>Preencher a aba Q1 - Summary com SUMIFS ao vivo (nao valor fixo), criando coluna auxiliar para normalizar property_type via VLOOKUP.</t>
  </si>
  <si>
    <t>Aceito, com ajuste: troquei formulas de array (AVERAGE/MEDIAN(IF(...))) por SUMPRODUCT/ArrayFormula explicito depois de validar no LibreOffice que o resultado batia com o script.</t>
  </si>
  <si>
    <t>Q2</t>
  </si>
  <si>
    <t>Calcular volume e conversao por canal e sugerir alocacao de investimento como Strategic Planner.</t>
  </si>
  <si>
    <t>Aceito o calculo; a recomendacao de alocacao foi revisada e sera defendida com raciocinio proprio na entrevista, nao e uma resposta 'de caixa preta' da IA.</t>
  </si>
  <si>
    <t>Todas</t>
  </si>
  <si>
    <t>Validar cruzado: recalcular tudo em Python (kpis.json + testes automatizados) e comparar com os valores das formulas do Excel recalculadas no LibreOffice headless.</t>
  </si>
  <si>
    <t>Aceito - so segui para a entrega depois que os dois calculos bateram 100% (Q1, Q2 e Q3).</t>
  </si>
  <si>
    <t>raw (qualquer grafia)</t>
  </si>
  <si>
    <t>normalizado</t>
  </si>
  <si>
    <t>Nota: VLOOKUP de texto no Excel nao diferencia maiuscula/minuscula, entao 'Apartment'/'APARTMENT' ja casam com 'apartment' automaticamente.</t>
  </si>
  <si>
    <t>apartamento</t>
  </si>
  <si>
    <t>Canal</t>
  </si>
  <si>
    <t>Nº de operações</t>
  </si>
  <si>
    <t>Volume aprovado (R$)</t>
  </si>
  <si>
    <t>% do volume total</t>
  </si>
  <si>
    <t>Conversão (qtd fechada/qtd)</t>
  </si>
  <si>
    <t>Conversão (R$ fechado/R$ aprovado)</t>
  </si>
  <si>
    <t>(sem canal informado)</t>
  </si>
  <si>
    <t>Leitura e recomendacao</t>
  </si>
  <si>
    <t>Volume: 'organic' e disparado o canal mais relevante (760 operacoes, R$ 126,1M, ~64% do numero de operacoes da base). Conversao por quantidade: 'other' (40,6%) e 'affiliates' (33,3%) convertem melhor que organic (30,9%); por R$ convertido, 'other' (45,8%) e 'social_media' (39,2%) se destacam - ou seja, quando convertem, trazem tickets maiores. 'remarketing' e o mais fraco nos dois criterios e tem o menor volume (26 operacoes).
Como Strategic Planner buscando crescer rapido, eu NAO cortaria organic (e a base de volume e conversao solida, provavelmente custo de aquisicao baixo por ser organico) - manteria como piso de operacao e reforcaria SEO/conteudo/indicacao que alimentam esse canal. Direcionaria o incremental de budget pago para 'social_media' (bom volume - 137 operacoes - e melhor conversao em R$) e testaria aumento controlado em 'affiliates' e 'other', pois convertem melhor mas tem amostra pequena (69 e 51 operacoes) - antes de alocar peso alto, rodaria um teste A/B maior para confirmar se a conversao se mantem em escala. Reduziria/pausaria 'remarketing' dado o pior resultado combinado a baixo volume, redirecionando essa verba para o teste em social_media/other. Isso e uma leitura sobre uma amostra de ate 1185 operacoes - o ideal e sempre cruzar com CAC real por canal (nao disponivel nesta base) antes de mudar orcamento de verdade.</t>
  </si>
  <si>
    <t>Problema encontrado</t>
  </si>
  <si>
    <t>Quantidade (formula ao vivo)</t>
  </si>
  <si>
    <t>Como foi tratado nesta analise</t>
  </si>
  <si>
    <t>Grafia/idioma inconsistente em property_type (ex.: 'Apartment', 'APARTMENT', 'apto', 'Apartamento', 'casa', 'Casa' misturados com o padrao em ingles)</t>
  </si>
  <si>
    <t>Criada coluna auxiliar DataBase!O (property_type_norm) com VLOOKUP em aba Lookup_PropertyType, normalizando tudo para apartment/house/other.</t>
  </si>
  <si>
    <t>closed_at anterior a credit_approval (fechamento antes da aprovacao - logicamente impossivel)</t>
  </si>
  <si>
    <t>Criada coluna auxiliar DataBase!P (is_closed_valid); esses registros sao tratados como 'nao fechado' em todos os calculos (Q1, Q2, Q3), nunca descartados da base.</t>
  </si>
  <si>
    <t>customer_age menor que 18 anos (juridicamente invalido para contrato de credito)</t>
  </si>
  <si>
    <t>Mantido na base (nao exclui linha), mas sinalizado como erro provavel de digitacao (ex.: 9 em vez de 39/91); nao afeta os KPIs de Q1/Q2/Q3 pois nenhum deles agrega por idade.</t>
  </si>
  <si>
    <t>Registros com credit_approval fora da janela pedida no template (Q3-2024 a Q4-2025): 3 anteriores a jul/2024 e 59 em 2026 (ate 28/mar/2026)</t>
  </si>
  <si>
    <t>Nao somados nas colunas de Q1 - Summary (que cobre so as 6 colunas do template); contados a parte aqui para nao sumir da leitura geral.</t>
  </si>
  <si>
    <t>loan_amount maior que property_value (LTV acima de 100% - risco atipico p/ credito com garantia real)</t>
  </si>
  <si>
    <t>Nao alterado (pode ser legitimo - refinanciamento, avaliacao desatualizada do imovel etc.); sinalizado para revisao de underwriting, nao e um erro de digitacao obvio.</t>
  </si>
  <si>
    <t>Alta proporcao de nulos em loan_term (41,0%) e credit_score (41,4%) - quase as mesmas 486 linhas</t>
  </si>
  <si>
    <t>Tratado como categoria 'nao informado' nas quebras, nunca removendo a linha; hipotese registrada: pode ser etapa do funil ainda nao concluida (pre-aprovacao sem underwriting completo) - vale confirmar com o time de originacao.</t>
  </si>
  <si>
    <t>state em branco (1,6% das linhas)</t>
  </si>
  <si>
    <t>Mantido como 'nao informado'; nao afeta os KPIs pedidos (Q1/Q2/Q3 nao segmentam por estado).</t>
  </si>
  <si>
    <t>Todos os numeros acima sao formulas vivas que leem direto da aba DataBase (incluindo as colunas auxiliares O e P). Ver dados/interim/anomalias.csv para a lista de ids afetados por cada problema (so id + tipo de problema, sem nenhuma outra coluna).</t>
  </si>
  <si>
    <t>Memória de Cálculo — Conferência com o Dashboard</t>
  </si>
  <si>
    <t>Cada linha abaixo é uma fórmula viva desta pasta de trabalho (referencia as abas 'Q1 - Summary', 'Q2 - Canal', 'Q3', 'Q4 - Qualidade de Dados' e 'DataBase' — nenhum valor é digitado à mão). A coluna 'Valor no dashboard' é o snapshot publicado em dashboard/public/data/dashboard_data.json; a coluna 'Bate?' confirma, célula a célula, que o Excel e o dashboard chegam ao mesmo número.</t>
  </si>
  <si>
    <t>Fonte: Case_Fintech_2026.xlsx (hash b34cf30b4933422c) · 1185 linhas na base, 1123 na janela Q3-2024 a Q4-2025 · dashboard gerado em 2026-09-22 22:27:10.</t>
  </si>
  <si>
    <t>Métrica</t>
  </si>
  <si>
    <t>Onde aparece no dashboard</t>
  </si>
  <si>
    <t>Valor no Excel (ao vivo)</t>
  </si>
  <si>
    <t>Valor no dashboard</t>
  </si>
  <si>
    <t>Precisão (casas decimais)</t>
  </si>
  <si>
    <t>Bate?</t>
  </si>
  <si>
    <t>Total aprovado no período (R$)</t>
  </si>
  <si>
    <t>Visão Geral — card "Crédito aprovado"</t>
  </si>
  <si>
    <t>Total fechado no período (R$)</t>
  </si>
  <si>
    <t>Visão Geral — card "Fechado"</t>
  </si>
  <si>
    <t>% fechado sobre aprovado (período)</t>
  </si>
  <si>
    <t>Nº de operações na janela (Q3-24 a Q4-25)</t>
  </si>
  <si>
    <t>Visão Geral — base do dashboard</t>
  </si>
  <si>
    <t>Lead time médio, aprovação → fechamento (dias)</t>
  </si>
  <si>
    <t>Visão Geral / Operação</t>
  </si>
  <si>
    <t>Operação</t>
  </si>
  <si>
    <t>Pipeline aberto (aprovadas, ainda não fechadas)</t>
  </si>
  <si>
    <t>Visão Geral — card "Pipeline aberto" / Operação</t>
  </si>
  <si>
    <t>Taxa de conversão geral, aprovação → fechamento (%)</t>
  </si>
  <si>
    <t>Volume aprovado — Orgânico (R$)</t>
  </si>
  <si>
    <t>Canais</t>
  </si>
  <si>
    <t>Nº de operações — Orgânico</t>
  </si>
  <si>
    <t>Conversão por valor — Orgânico (%)</t>
  </si>
  <si>
    <t>Volume aprovado — Redes sociais (R$)</t>
  </si>
  <si>
    <t>Conversão por valor — Redes sociais (%)</t>
  </si>
  <si>
    <t>Volume aprovado — Outro (R$)</t>
  </si>
  <si>
    <t>Conversão por quantidade — Outro (%)</t>
  </si>
  <si>
    <t>Nº de operações — Não informado (sem canal preenchido)</t>
  </si>
  <si>
    <t>Canais — legenda "Não informado"</t>
  </si>
  <si>
    <t>Tipos de problema encontrados na base</t>
  </si>
  <si>
    <t>Qualidade de Dados — card "Tipos de problema"</t>
  </si>
  <si>
    <t>Ocorrências sinalizadas no total (com possível sobreposição)</t>
  </si>
  <si>
    <t>Qualidade de Dados — card "Ocorrências sinalizadas"</t>
  </si>
  <si>
    <t>Problemas críticos (closed_at inválido + idade &lt; 18)</t>
  </si>
  <si>
    <t>Qualidade de Dados — card "Problemas críticos"</t>
  </si>
  <si>
    <t>Linhas excluídas da base</t>
  </si>
  <si>
    <t>Qualidade de Dados — card "Linhas excluídas da base"</t>
  </si>
  <si>
    <t>Nenhuma linha é removida em nenhum cálculo (Q1/Q2/Q3) — todos os problemas da aba "Q4" são tratados, nunca excluídos.</t>
  </si>
  <si>
    <t>% fechado — Q3-2024 (primeiro ponto do gráfico de linha)</t>
  </si>
  <si>
    <t>Visão Geral — gráfico "Fechado vs aprovado por trimestre"</t>
  </si>
  <si>
    <t>% fechado — Q2-2025 (início da zona "queda atípica")</t>
  </si>
  <si>
    <t>idem — zona sombreada do gráfico</t>
  </si>
  <si>
    <t>% fechado — Q3-2025 (fim da zona "queda atípica")</t>
  </si>
  <si>
    <t>% fechado — Q4-2025 (último trimestre)</t>
  </si>
  <si>
    <t>idem — gráfico de linha</t>
  </si>
  <si>
    <t>Fórmula usada (texto)</t>
  </si>
  <si>
    <t>→</t>
  </si>
  <si>
    <t>Aquisição por Canal</t>
  </si>
  <si>
    <t>Legenda (linha % fechado/aprovado):</t>
  </si>
  <si>
    <t>Legenda (colunas Conversão):</t>
  </si>
  <si>
    <t>favorável (maior conversão)</t>
  </si>
  <si>
    <t>não comparável (amostra insuficiente: 2 registros)</t>
  </si>
  <si>
    <t>favorável (maior %)</t>
  </si>
  <si>
    <t>atenção (menor %)</t>
  </si>
  <si>
    <t>Mapeamento do Processo Operacional</t>
  </si>
  <si>
    <t>Qualidade de Dados — Achados e Tratamento</t>
  </si>
  <si>
    <t>Sugestão</t>
  </si>
  <si>
    <t>Sugestão adicional — métricas não calculáveis só com esta base, mas que seriam o próximo passo natural para investigar a queda de conversão e o pipeline de 818 operações em aberto identificados nesta análise:
1) SLA por etapa do funil (dias entre aprovação → avaliação do imóvel → assinatura/registro do contrato → liberação de recursos). Hoje só medimos o tempo total aprovação→fechamento (mediana de 56 dias); sem o tempo de cada etapa isolada, não é possível saber ONDE o funil está travando — se é na due diligence do imóvel, na formalização em cartório ou na liberação do valor.
2) Taxa de desistência/cancelamento pós-aprovação (% de operações que saem do funil sem fechar por decisão do cliente, reprovação em due diligence ou desistência da instituição), separada do simples 'ainda não fechou'. Isso ajudaria a distinguir se a queda no % fechado/aprovado (de 63% em Q3-24 para ~20-21% em Q3/Q4-25) é efeito natural de safra, cancelamento real, ou uma mistura dos dois.
3) Aging do pipeline aberto — distribuição de quanto tempo cada uma das 818 operações pendentes já está parada, não só a mediana histórica de quem já fechou. Um pipeline com muitas operações há mais de 90-120 dias sem movimento é um sinal de alerta operacional bem diferente de um pipeline jovem que simplesmente ainda não teve tempo de fechar.</t>
  </si>
  <si>
    <t>atenção (menor conversão)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</si>
</sst>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"/>
    <numFmt numFmtId="165" formatCode="m/d/yyyy"/>
    <numFmt numFmtId="166" formatCode="_-&quot;R$&quot;* #,##0.00_-;&quot;-R$&quot;* #,##0.00_-;_-&quot;R$&quot;* \-??_-;_-@"/>
    <numFmt numFmtId="167" formatCode="&quot;R$&quot;#,##0.00"/>
    <numFmt numFmtId="168" formatCode="_-* #,##0_-;\-* #,##0_-;_-* \-??_-;_-@"/>
    <numFmt numFmtId="169" formatCode="&quot;R$ &quot;#,##0"/>
    <numFmt numFmtId="170" formatCode="0.0%"/>
    <numFmt numFmtId="171" formatCode="0.0"/>
  </numFmts>
  <fonts count="36" x14ac:knownFonts="1">
    <font>
      <sz val="10"/>
      <color rgb="FF000000"/>
      <name val="Arial"/>
      <charset val="1"/>
    </font>
    <font>
      <b/>
      <sz val="14"/>
      <color rgb="FF1F3864"/>
      <name val="Arial"/>
      <charset val="1"/>
    </font>
    <font>
      <sz val="10"/>
      <color theme="1"/>
      <name val="Arial"/>
      <charset val="1"/>
    </font>
    <font>
      <b/>
      <sz val="11"/>
      <color rgb="FF1F3864"/>
      <name val="Arial"/>
      <charset val="1"/>
    </font>
    <font>
      <i/>
      <sz val="10"/>
      <color rgb="FF595959"/>
      <name val="Arial"/>
      <charset val="1"/>
    </font>
    <font>
      <sz val="11"/>
      <color theme="1"/>
      <name val="Arial"/>
      <charset val="1"/>
    </font>
    <font>
      <b/>
      <sz val="11"/>
      <color theme="1"/>
      <name val="Calibri"/>
      <charset val="1"/>
    </font>
    <font>
      <b/>
      <sz val="11"/>
      <name val="Cambria"/>
      <charset val="1"/>
    </font>
    <font>
      <sz val="11"/>
      <color theme="1"/>
      <name val="Calibri"/>
      <charset val="1"/>
    </font>
    <font>
      <sz val="10"/>
      <name val="Arial"/>
      <family val="2"/>
    </font>
    <font>
      <b/>
      <sz val="11"/>
      <color rgb="FFFFFFFF"/>
      <name val="Arial"/>
      <charset val="1"/>
    </font>
    <font>
      <i/>
      <sz val="10"/>
      <color rgb="FF555555"/>
      <name val="Cambria"/>
      <charset val="1"/>
    </font>
    <font>
      <b/>
      <sz val="11"/>
      <color rgb="FFFFFFFF"/>
      <name val="Cambria"/>
      <charset val="1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4"/>
      <color rgb="FFFFFFFF"/>
      <name val="Calibri"/>
      <family val="2"/>
    </font>
    <font>
      <b/>
      <sz val="10"/>
      <color theme="1"/>
      <name val="Calibri"/>
      <family val="2"/>
    </font>
    <font>
      <b/>
      <i/>
      <sz val="10"/>
      <color rgb="FF1F4E78"/>
      <name val="Calibri"/>
      <family val="2"/>
    </font>
    <font>
      <b/>
      <sz val="10"/>
      <color rgb="FF1F4E78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375623"/>
      <name val="Calibri"/>
      <family val="2"/>
    </font>
    <font>
      <b/>
      <sz val="10"/>
      <color rgb="FFFFFFFF"/>
      <name val="Calibri"/>
      <family val="2"/>
    </font>
    <font>
      <i/>
      <sz val="9"/>
      <color rgb="FF595959"/>
      <name val="Calibri"/>
      <family val="2"/>
    </font>
    <font>
      <b/>
      <sz val="10"/>
      <color rgb="FF000000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Cambria"/>
      <family val="1"/>
    </font>
    <font>
      <b/>
      <sz val="9"/>
      <color rgb="FF000000"/>
      <name val="Arial"/>
      <family val="2"/>
    </font>
    <font>
      <i/>
      <sz val="9"/>
      <color rgb="FF595959"/>
      <name val="Arial"/>
      <family val="2"/>
    </font>
    <font>
      <b/>
      <sz val="9"/>
      <name val="Arial"/>
      <family val="2"/>
    </font>
    <font>
      <sz val="16"/>
      <color rgb="FF595959"/>
      <name val="Arial"/>
      <family val="2"/>
    </font>
    <font>
      <b/>
      <sz val="11"/>
      <color rgb="FF1F4E78"/>
      <name val="Calibri"/>
      <family val="2"/>
    </font>
    <font>
      <b/>
      <sz val="11"/>
      <name val="Calibri"/>
      <family val="2"/>
    </font>
    <font>
      <b/>
      <sz val="14"/>
      <color rgb="FFFFFFFF"/>
      <name val="Cambria"/>
      <family val="1"/>
    </font>
    <font>
      <b/>
      <i/>
      <sz val="9"/>
      <color rgb="FF595959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305496"/>
        <bgColor rgb="FF1F3864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BEB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A9A9"/>
        <bgColor indexed="64"/>
      </patternFill>
    </fill>
    <fill>
      <patternFill patternType="solid">
        <fgColor rgb="FFD9C2E0"/>
        <bgColor indexed="64"/>
      </patternFill>
    </fill>
    <fill>
      <patternFill patternType="solid">
        <fgColor rgb="FFEAF1F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1F4E7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rgb="FF1F4E78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7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165" fontId="6" fillId="0" borderId="1" xfId="0" applyNumberFormat="1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166" fontId="6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horizontal="right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/>
    <xf numFmtId="165" fontId="8" fillId="0" borderId="0" xfId="0" applyNumberFormat="1" applyFont="1"/>
    <xf numFmtId="167" fontId="8" fillId="0" borderId="0" xfId="0" applyNumberFormat="1" applyFont="1" applyAlignment="1">
      <alignment horizontal="right"/>
    </xf>
    <xf numFmtId="0" fontId="8" fillId="0" borderId="0" xfId="0" applyFont="1"/>
    <xf numFmtId="166" fontId="8" fillId="0" borderId="0" xfId="0" applyNumberFormat="1" applyFont="1" applyAlignment="1">
      <alignment horizontal="right"/>
    </xf>
    <xf numFmtId="166" fontId="8" fillId="0" borderId="0" xfId="0" applyNumberFormat="1" applyFont="1"/>
    <xf numFmtId="168" fontId="8" fillId="0" borderId="0" xfId="0" applyNumberFormat="1" applyFont="1"/>
    <xf numFmtId="166" fontId="8" fillId="0" borderId="0" xfId="0" applyNumberFormat="1" applyFont="1" applyAlignment="1">
      <alignment horizontal="center"/>
    </xf>
    <xf numFmtId="0" fontId="1" fillId="0" borderId="0" xfId="0" applyFont="1"/>
    <xf numFmtId="0" fontId="10" fillId="4" borderId="0" xfId="0" applyFont="1" applyFill="1" applyAlignment="1">
      <alignment horizontal="center"/>
    </xf>
    <xf numFmtId="0" fontId="0" fillId="5" borderId="5" xfId="0" applyFill="1" applyBorder="1" applyAlignment="1">
      <alignment vertical="top" wrapText="1"/>
    </xf>
    <xf numFmtId="0" fontId="4" fillId="0" borderId="0" xfId="0" applyFont="1" applyAlignment="1">
      <alignment wrapText="1"/>
    </xf>
    <xf numFmtId="0" fontId="7" fillId="0" borderId="0" xfId="0" applyFont="1"/>
    <xf numFmtId="0" fontId="13" fillId="0" borderId="0" xfId="0" applyFont="1"/>
    <xf numFmtId="0" fontId="19" fillId="7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left"/>
    </xf>
    <xf numFmtId="169" fontId="22" fillId="8" borderId="1" xfId="0" applyNumberFormat="1" applyFont="1" applyFill="1" applyBorder="1"/>
    <xf numFmtId="0" fontId="23" fillId="9" borderId="1" xfId="0" applyFont="1" applyFill="1" applyBorder="1" applyAlignment="1">
      <alignment vertical="center"/>
    </xf>
    <xf numFmtId="0" fontId="14" fillId="9" borderId="0" xfId="0" applyFont="1" applyFill="1"/>
    <xf numFmtId="0" fontId="17" fillId="8" borderId="1" xfId="0" applyFont="1" applyFill="1" applyBorder="1"/>
    <xf numFmtId="169" fontId="22" fillId="8" borderId="3" xfId="0" applyNumberFormat="1" applyFont="1" applyFill="1" applyBorder="1"/>
    <xf numFmtId="0" fontId="17" fillId="16" borderId="1" xfId="0" applyFont="1" applyFill="1" applyBorder="1"/>
    <xf numFmtId="169" fontId="21" fillId="16" borderId="2" xfId="0" applyNumberFormat="1" applyFont="1" applyFill="1" applyBorder="1"/>
    <xf numFmtId="169" fontId="21" fillId="16" borderId="3" xfId="0" applyNumberFormat="1" applyFont="1" applyFill="1" applyBorder="1"/>
    <xf numFmtId="169" fontId="21" fillId="16" borderId="4" xfId="0" applyNumberFormat="1" applyFont="1" applyFill="1" applyBorder="1"/>
    <xf numFmtId="0" fontId="24" fillId="16" borderId="1" xfId="0" applyFont="1" applyFill="1" applyBorder="1" applyAlignment="1">
      <alignment horizontal="left"/>
    </xf>
    <xf numFmtId="170" fontId="24" fillId="16" borderId="2" xfId="0" applyNumberFormat="1" applyFont="1" applyFill="1" applyBorder="1"/>
    <xf numFmtId="170" fontId="24" fillId="16" borderId="3" xfId="0" applyNumberFormat="1" applyFont="1" applyFill="1" applyBorder="1"/>
    <xf numFmtId="170" fontId="24" fillId="16" borderId="4" xfId="0" applyNumberFormat="1" applyFont="1" applyFill="1" applyBorder="1"/>
    <xf numFmtId="0" fontId="17" fillId="17" borderId="1" xfId="0" applyFont="1" applyFill="1" applyBorder="1"/>
    <xf numFmtId="169" fontId="21" fillId="17" borderId="2" xfId="0" applyNumberFormat="1" applyFont="1" applyFill="1" applyBorder="1"/>
    <xf numFmtId="169" fontId="21" fillId="17" borderId="3" xfId="0" applyNumberFormat="1" applyFont="1" applyFill="1" applyBorder="1"/>
    <xf numFmtId="169" fontId="21" fillId="17" borderId="4" xfId="0" applyNumberFormat="1" applyFont="1" applyFill="1" applyBorder="1"/>
    <xf numFmtId="0" fontId="24" fillId="17" borderId="1" xfId="0" applyFont="1" applyFill="1" applyBorder="1" applyAlignment="1">
      <alignment horizontal="left"/>
    </xf>
    <xf numFmtId="170" fontId="24" fillId="17" borderId="2" xfId="0" applyNumberFormat="1" applyFont="1" applyFill="1" applyBorder="1"/>
    <xf numFmtId="170" fontId="24" fillId="17" borderId="3" xfId="0" applyNumberFormat="1" applyFont="1" applyFill="1" applyBorder="1"/>
    <xf numFmtId="170" fontId="24" fillId="17" borderId="4" xfId="0" applyNumberFormat="1" applyFont="1" applyFill="1" applyBorder="1"/>
    <xf numFmtId="0" fontId="28" fillId="0" borderId="0" xfId="0" applyFont="1"/>
    <xf numFmtId="0" fontId="0" fillId="0" borderId="9" xfId="0" applyBorder="1"/>
    <xf numFmtId="0" fontId="29" fillId="0" borderId="0" xfId="0" quotePrefix="1" applyFont="1"/>
    <xf numFmtId="170" fontId="8" fillId="3" borderId="10" xfId="0" applyNumberFormat="1" applyFont="1" applyFill="1" applyBorder="1"/>
    <xf numFmtId="0" fontId="30" fillId="18" borderId="0" xfId="0" applyFont="1" applyFill="1" applyAlignment="1">
      <alignment horizontal="center" vertical="center"/>
    </xf>
    <xf numFmtId="0" fontId="30" fillId="19" borderId="0" xfId="0" quotePrefix="1" applyFont="1" applyFill="1" applyAlignment="1">
      <alignment horizontal="center" vertical="center"/>
    </xf>
    <xf numFmtId="0" fontId="31" fillId="0" borderId="0" xfId="0" quotePrefix="1" applyFont="1" applyAlignment="1">
      <alignment horizontal="center" vertical="center"/>
    </xf>
    <xf numFmtId="0" fontId="25" fillId="16" borderId="1" xfId="0" applyFont="1" applyFill="1" applyBorder="1"/>
    <xf numFmtId="0" fontId="0" fillId="16" borderId="1" xfId="0" applyFill="1" applyBorder="1"/>
    <xf numFmtId="169" fontId="0" fillId="16" borderId="1" xfId="0" applyNumberFormat="1" applyFill="1" applyBorder="1"/>
    <xf numFmtId="170" fontId="0" fillId="16" borderId="1" xfId="0" applyNumberFormat="1" applyFill="1" applyBorder="1"/>
    <xf numFmtId="170" fontId="0" fillId="8" borderId="1" xfId="0" applyNumberFormat="1" applyFill="1" applyBorder="1"/>
    <xf numFmtId="0" fontId="25" fillId="17" borderId="1" xfId="0" applyFont="1" applyFill="1" applyBorder="1"/>
    <xf numFmtId="0" fontId="0" fillId="17" borderId="1" xfId="0" applyFill="1" applyBorder="1"/>
    <xf numFmtId="169" fontId="0" fillId="17" borderId="1" xfId="0" applyNumberFormat="1" applyFill="1" applyBorder="1"/>
    <xf numFmtId="170" fontId="0" fillId="17" borderId="1" xfId="0" applyNumberFormat="1" applyFill="1" applyBorder="1"/>
    <xf numFmtId="170" fontId="0" fillId="12" borderId="1" xfId="0" applyNumberFormat="1" applyFill="1" applyBorder="1"/>
    <xf numFmtId="170" fontId="0" fillId="11" borderId="1" xfId="0" applyNumberFormat="1" applyFill="1" applyBorder="1"/>
    <xf numFmtId="170" fontId="0" fillId="10" borderId="1" xfId="0" applyNumberFormat="1" applyFill="1" applyBorder="1"/>
    <xf numFmtId="170" fontId="0" fillId="15" borderId="1" xfId="0" applyNumberFormat="1" applyFill="1" applyBorder="1"/>
    <xf numFmtId="170" fontId="0" fillId="13" borderId="1" xfId="0" applyNumberFormat="1" applyFill="1" applyBorder="1"/>
    <xf numFmtId="0" fontId="26" fillId="17" borderId="1" xfId="0" applyFont="1" applyFill="1" applyBorder="1"/>
    <xf numFmtId="169" fontId="26" fillId="17" borderId="1" xfId="0" applyNumberFormat="1" applyFont="1" applyFill="1" applyBorder="1"/>
    <xf numFmtId="170" fontId="26" fillId="17" borderId="1" xfId="0" applyNumberFormat="1" applyFont="1" applyFill="1" applyBorder="1"/>
    <xf numFmtId="0" fontId="30" fillId="20" borderId="1" xfId="0" quotePrefix="1" applyFont="1" applyFill="1" applyBorder="1" applyAlignment="1">
      <alignment horizontal="center" vertical="center"/>
    </xf>
    <xf numFmtId="170" fontId="26" fillId="20" borderId="1" xfId="0" applyNumberFormat="1" applyFont="1" applyFill="1" applyBorder="1"/>
    <xf numFmtId="170" fontId="26" fillId="20" borderId="11" xfId="0" applyNumberFormat="1" applyFont="1" applyFill="1" applyBorder="1"/>
    <xf numFmtId="0" fontId="0" fillId="0" borderId="0" xfId="0" applyFill="1"/>
    <xf numFmtId="0" fontId="29" fillId="0" borderId="0" xfId="0" quotePrefix="1" applyFont="1" applyFill="1"/>
    <xf numFmtId="0" fontId="16" fillId="6" borderId="0" xfId="0" applyFont="1" applyFill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27" fillId="6" borderId="7" xfId="0" applyFont="1" applyFill="1" applyBorder="1" applyAlignment="1">
      <alignment horizontal="center" vertical="center"/>
    </xf>
    <xf numFmtId="170" fontId="8" fillId="3" borderId="11" xfId="0" applyNumberFormat="1" applyFont="1" applyFill="1" applyBorder="1"/>
    <xf numFmtId="0" fontId="17" fillId="2" borderId="11" xfId="0" applyFont="1" applyFill="1" applyBorder="1" applyAlignment="1">
      <alignment horizontal="left"/>
    </xf>
    <xf numFmtId="0" fontId="28" fillId="0" borderId="9" xfId="0" applyFont="1" applyBorder="1"/>
    <xf numFmtId="0" fontId="18" fillId="7" borderId="1" xfId="0" applyFont="1" applyFill="1" applyBorder="1" applyAlignment="1">
      <alignment horizontal="left" vertical="center"/>
    </xf>
    <xf numFmtId="0" fontId="28" fillId="19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6" fillId="17" borderId="0" xfId="0" applyFont="1" applyFill="1" applyAlignment="1">
      <alignment horizontal="center" vertical="center" wrapText="1"/>
    </xf>
    <xf numFmtId="0" fontId="26" fillId="17" borderId="0" xfId="0" applyFont="1" applyFill="1" applyAlignment="1">
      <alignment horizontal="center" wrapText="1"/>
    </xf>
    <xf numFmtId="0" fontId="27" fillId="9" borderId="1" xfId="0" applyFont="1" applyFill="1" applyBorder="1"/>
    <xf numFmtId="0" fontId="14" fillId="9" borderId="1" xfId="0" applyFont="1" applyFill="1" applyBorder="1"/>
    <xf numFmtId="171" fontId="0" fillId="16" borderId="1" xfId="0" applyNumberFormat="1" applyFill="1" applyBorder="1"/>
    <xf numFmtId="171" fontId="0" fillId="17" borderId="1" xfId="0" applyNumberFormat="1" applyFill="1" applyBorder="1"/>
    <xf numFmtId="0" fontId="25" fillId="17" borderId="1" xfId="0" applyFont="1" applyFill="1" applyBorder="1" applyAlignment="1">
      <alignment wrapText="1"/>
    </xf>
    <xf numFmtId="0" fontId="25" fillId="16" borderId="1" xfId="0" applyFont="1" applyFill="1" applyBorder="1" applyAlignment="1">
      <alignment wrapText="1"/>
    </xf>
    <xf numFmtId="0" fontId="26" fillId="17" borderId="1" xfId="0" applyFont="1" applyFill="1" applyBorder="1" applyAlignment="1">
      <alignment horizontal="center" vertical="center" wrapText="1"/>
    </xf>
    <xf numFmtId="0" fontId="32" fillId="7" borderId="0" xfId="0" applyFont="1" applyFill="1"/>
    <xf numFmtId="0" fontId="27" fillId="6" borderId="0" xfId="0" applyFont="1" applyFill="1" applyAlignment="1">
      <alignment horizontal="center" vertical="center"/>
    </xf>
    <xf numFmtId="0" fontId="25" fillId="16" borderId="0" xfId="0" applyFont="1" applyFill="1" applyBorder="1" applyAlignment="1">
      <alignment wrapText="1"/>
    </xf>
    <xf numFmtId="0" fontId="0" fillId="16" borderId="0" xfId="0" applyFill="1" applyBorder="1"/>
    <xf numFmtId="170" fontId="0" fillId="16" borderId="0" xfId="0" applyNumberFormat="1" applyFill="1" applyBorder="1"/>
    <xf numFmtId="0" fontId="0" fillId="16" borderId="1" xfId="0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25" fillId="16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33" fillId="7" borderId="1" xfId="0" applyFont="1" applyFill="1" applyBorder="1"/>
    <xf numFmtId="0" fontId="34" fillId="6" borderId="0" xfId="0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11" fillId="21" borderId="0" xfId="0" applyFont="1" applyFill="1" applyAlignment="1">
      <alignment vertical="top" wrapText="1"/>
    </xf>
    <xf numFmtId="0" fontId="12" fillId="6" borderId="12" xfId="0" applyFont="1" applyFill="1" applyBorder="1" applyAlignment="1">
      <alignment vertical="center" wrapText="1"/>
    </xf>
    <xf numFmtId="1" fontId="0" fillId="16" borderId="1" xfId="0" applyNumberFormat="1" applyFill="1" applyBorder="1"/>
    <xf numFmtId="1" fontId="0" fillId="17" borderId="1" xfId="0" applyNumberFormat="1" applyFill="1" applyBorder="1"/>
    <xf numFmtId="10" fontId="0" fillId="16" borderId="1" xfId="0" applyNumberFormat="1" applyFill="1" applyBorder="1"/>
    <xf numFmtId="3" fontId="0" fillId="17" borderId="1" xfId="0" applyNumberFormat="1" applyFill="1" applyBorder="1"/>
    <xf numFmtId="171" fontId="0" fillId="16" borderId="1" xfId="0" applyNumberFormat="1" applyFill="1" applyBorder="1" applyAlignment="1">
      <alignment vertical="top" wrapText="1"/>
    </xf>
    <xf numFmtId="171" fontId="0" fillId="17" borderId="1" xfId="0" applyNumberFormat="1" applyFill="1" applyBorder="1" applyAlignment="1">
      <alignment vertical="top" wrapText="1"/>
    </xf>
    <xf numFmtId="3" fontId="0" fillId="16" borderId="1" xfId="0" applyNumberFormat="1" applyFill="1" applyBorder="1"/>
    <xf numFmtId="170" fontId="0" fillId="17" borderId="1" xfId="0" applyNumberFormat="1" applyFill="1" applyBorder="1" applyAlignment="1">
      <alignment vertical="top" wrapText="1"/>
    </xf>
    <xf numFmtId="10" fontId="0" fillId="17" borderId="1" xfId="0" applyNumberFormat="1" applyFill="1" applyBorder="1"/>
    <xf numFmtId="169" fontId="0" fillId="16" borderId="1" xfId="0" applyNumberFormat="1" applyFill="1" applyBorder="1" applyAlignment="1">
      <alignment vertical="top" wrapText="1"/>
    </xf>
    <xf numFmtId="170" fontId="0" fillId="16" borderId="1" xfId="0" applyNumberFormat="1" applyFill="1" applyBorder="1" applyAlignment="1">
      <alignment vertical="top" wrapText="1"/>
    </xf>
    <xf numFmtId="169" fontId="0" fillId="17" borderId="1" xfId="0" applyNumberFormat="1" applyFill="1" applyBorder="1" applyAlignment="1">
      <alignment vertical="top" wrapText="1"/>
    </xf>
    <xf numFmtId="0" fontId="20" fillId="14" borderId="8" xfId="0" applyFont="1" applyFill="1" applyBorder="1" applyAlignment="1">
      <alignment vertical="top" wrapText="1" indent="1"/>
    </xf>
    <xf numFmtId="0" fontId="25" fillId="0" borderId="0" xfId="0" applyFont="1" applyAlignment="1">
      <alignment vertical="top" wrapText="1"/>
    </xf>
    <xf numFmtId="0" fontId="17" fillId="14" borderId="6" xfId="0" applyFont="1" applyFill="1" applyBorder="1" applyAlignment="1">
      <alignment vertical="top" wrapText="1" indent="1"/>
    </xf>
    <xf numFmtId="0" fontId="17" fillId="14" borderId="1" xfId="0" applyFont="1" applyFill="1" applyBorder="1" applyAlignment="1">
      <alignment vertical="top" wrapText="1" indent="1"/>
    </xf>
    <xf numFmtId="0" fontId="20" fillId="14" borderId="8" xfId="0" applyFont="1" applyFill="1" applyBorder="1" applyAlignment="1">
      <alignment vertical="top" wrapText="1"/>
    </xf>
    <xf numFmtId="0" fontId="35" fillId="14" borderId="8" xfId="0" applyFont="1" applyFill="1" applyBorder="1" applyAlignment="1">
      <alignment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4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B36E31-7002-476B-A84B-8AFD3D3E9864}">
  <we:reference id="wa200010725" version="1.0.0.1" store="pt-PT" storeType="OMEX"/>
  <we:alternateReferences>
    <we:reference id="WA200010725" version="1.0.0.1" store="" storeType="OMEX"/>
  </we:alternateReferences>
  <we:properties>
    <we:property name="claude.fileId" value="&quot;189d82c9-ed14-4f67-aa4d-7083ea1aa2ce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499984740745262"/>
    <outlinePr summaryBelow="0"/>
  </sheetPr>
  <dimension ref="B1:B1000"/>
  <sheetViews>
    <sheetView showGridLines="0" topLeftCell="A11" zoomScaleNormal="100" workbookViewId="0">
      <selection activeCell="B12" sqref="B12"/>
    </sheetView>
  </sheetViews>
  <sheetFormatPr defaultColWidth="12.6328125" defaultRowHeight="15" customHeight="1" x14ac:dyDescent="0.25"/>
  <cols>
    <col min="1" max="1" width="4" customWidth="1"/>
    <col min="2" max="2" width="130" customWidth="1"/>
    <col min="3" max="22" width="14.54296875" customWidth="1"/>
    <col min="23" max="26" width="12.453125" customWidth="1"/>
  </cols>
  <sheetData>
    <row r="1" spans="2:2" ht="15.75" customHeight="1" x14ac:dyDescent="0.25">
      <c r="B1" s="2"/>
    </row>
    <row r="2" spans="2:2" ht="24" customHeight="1" x14ac:dyDescent="0.25">
      <c r="B2" s="3" t="s">
        <v>0</v>
      </c>
    </row>
    <row r="3" spans="2:2" ht="15.75" customHeight="1" x14ac:dyDescent="0.25">
      <c r="B3" s="2"/>
    </row>
    <row r="4" spans="2:2" ht="60" customHeight="1" x14ac:dyDescent="0.25">
      <c r="B4" s="4" t="s">
        <v>1</v>
      </c>
    </row>
    <row r="5" spans="2:2" ht="15.75" customHeight="1" x14ac:dyDescent="0.25">
      <c r="B5" s="2"/>
    </row>
    <row r="6" spans="2:2" ht="15.75" customHeight="1" x14ac:dyDescent="0.25">
      <c r="B6" s="5" t="s">
        <v>2</v>
      </c>
    </row>
    <row r="7" spans="2:2" ht="43.5" customHeight="1" x14ac:dyDescent="0.25">
      <c r="B7" s="4" t="s">
        <v>3</v>
      </c>
    </row>
    <row r="8" spans="2:2" ht="51" customHeight="1" x14ac:dyDescent="0.25">
      <c r="B8" s="2"/>
    </row>
    <row r="9" spans="2:2" ht="15.75" customHeight="1" x14ac:dyDescent="0.25">
      <c r="B9" s="5" t="s">
        <v>4</v>
      </c>
    </row>
    <row r="10" spans="2:2" ht="24.75" customHeight="1" x14ac:dyDescent="0.25">
      <c r="B10" s="4" t="s">
        <v>5</v>
      </c>
    </row>
    <row r="11" spans="2:2" ht="15.75" customHeight="1" x14ac:dyDescent="0.25">
      <c r="B11" s="4" t="s">
        <v>6</v>
      </c>
    </row>
    <row r="12" spans="2:2" ht="65.25" customHeight="1" x14ac:dyDescent="0.25">
      <c r="B12" s="4" t="s">
        <v>7</v>
      </c>
    </row>
    <row r="13" spans="2:2" ht="15.75" customHeight="1" x14ac:dyDescent="0.25">
      <c r="B13" s="4" t="s">
        <v>8</v>
      </c>
    </row>
    <row r="14" spans="2:2" ht="79.5" customHeight="1" x14ac:dyDescent="0.25">
      <c r="B14" s="4" t="s">
        <v>9</v>
      </c>
    </row>
    <row r="15" spans="2:2" ht="15.75" customHeight="1" x14ac:dyDescent="0.25">
      <c r="B15" s="2"/>
    </row>
    <row r="16" spans="2:2" ht="15.75" customHeight="1" x14ac:dyDescent="0.25">
      <c r="B16" s="5" t="s">
        <v>10</v>
      </c>
    </row>
    <row r="17" spans="2:2" ht="15.75" customHeight="1" x14ac:dyDescent="0.25">
      <c r="B17" s="2"/>
    </row>
    <row r="18" spans="2:2" ht="30" customHeight="1" x14ac:dyDescent="0.25">
      <c r="B18" s="4" t="s">
        <v>11</v>
      </c>
    </row>
    <row r="19" spans="2:2" ht="15.75" customHeight="1" x14ac:dyDescent="0.25">
      <c r="B19" s="2"/>
    </row>
    <row r="20" spans="2:2" ht="60" customHeight="1" x14ac:dyDescent="0.25">
      <c r="B20" s="4" t="s">
        <v>12</v>
      </c>
    </row>
    <row r="21" spans="2:2" ht="15.75" customHeight="1" x14ac:dyDescent="0.25">
      <c r="B21" s="2"/>
    </row>
    <row r="22" spans="2:2" ht="69.75" customHeight="1" x14ac:dyDescent="0.25">
      <c r="B22" s="4" t="s">
        <v>13</v>
      </c>
    </row>
    <row r="23" spans="2:2" ht="15.75" customHeight="1" x14ac:dyDescent="0.25">
      <c r="B23" s="2"/>
    </row>
    <row r="24" spans="2:2" ht="60" customHeight="1" x14ac:dyDescent="0.25">
      <c r="B24" s="4" t="s">
        <v>14</v>
      </c>
    </row>
    <row r="25" spans="2:2" ht="15.75" customHeight="1" x14ac:dyDescent="0.25">
      <c r="B25" s="2"/>
    </row>
    <row r="26" spans="2:2" ht="15.75" customHeight="1" x14ac:dyDescent="0.25">
      <c r="B26" s="6" t="s">
        <v>15</v>
      </c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7"/>
    </row>
    <row r="32" spans="2:2" ht="15.75" customHeight="1" x14ac:dyDescent="0.25">
      <c r="B32" s="7"/>
    </row>
    <row r="33" spans="2:2" ht="15.75" customHeight="1" x14ac:dyDescent="0.25">
      <c r="B33" s="7"/>
    </row>
    <row r="34" spans="2:2" ht="15.75" customHeight="1" x14ac:dyDescent="0.25">
      <c r="B34" s="7"/>
    </row>
    <row r="35" spans="2:2" ht="15.75" customHeight="1" x14ac:dyDescent="0.25">
      <c r="B35" s="7"/>
    </row>
    <row r="36" spans="2:2" ht="15.75" customHeight="1" x14ac:dyDescent="0.25">
      <c r="B36" s="7"/>
    </row>
    <row r="37" spans="2:2" ht="15.75" customHeight="1" x14ac:dyDescent="0.25">
      <c r="B37" s="7"/>
    </row>
    <row r="38" spans="2:2" ht="15.75" customHeight="1" x14ac:dyDescent="0.25">
      <c r="B38" s="7"/>
    </row>
    <row r="39" spans="2:2" ht="15.75" customHeight="1" x14ac:dyDescent="0.25">
      <c r="B39" s="7"/>
    </row>
    <row r="40" spans="2:2" ht="15.75" customHeight="1" x14ac:dyDescent="0.25">
      <c r="B40" s="7"/>
    </row>
    <row r="41" spans="2:2" ht="15.75" customHeight="1" x14ac:dyDescent="0.25">
      <c r="B41" s="7"/>
    </row>
    <row r="42" spans="2:2" ht="15.75" customHeight="1" x14ac:dyDescent="0.25">
      <c r="B42" s="7"/>
    </row>
    <row r="43" spans="2:2" ht="15.75" customHeight="1" x14ac:dyDescent="0.25">
      <c r="B43" s="7"/>
    </row>
    <row r="44" spans="2:2" ht="15.75" customHeight="1" x14ac:dyDescent="0.25">
      <c r="B44" s="7"/>
    </row>
    <row r="45" spans="2:2" ht="15.75" customHeight="1" x14ac:dyDescent="0.25">
      <c r="B45" s="7"/>
    </row>
    <row r="46" spans="2:2" ht="15.75" customHeight="1" x14ac:dyDescent="0.25">
      <c r="B46" s="7"/>
    </row>
    <row r="47" spans="2:2" ht="15.75" customHeight="1" x14ac:dyDescent="0.25">
      <c r="B47" s="7"/>
    </row>
    <row r="48" spans="2:2" ht="15.75" customHeight="1" x14ac:dyDescent="0.25">
      <c r="B48" s="7"/>
    </row>
    <row r="49" spans="2:2" ht="15.75" customHeight="1" x14ac:dyDescent="0.25">
      <c r="B49" s="7"/>
    </row>
    <row r="50" spans="2:2" ht="15.75" customHeight="1" x14ac:dyDescent="0.25">
      <c r="B50" s="7"/>
    </row>
    <row r="51" spans="2:2" ht="15.75" customHeight="1" x14ac:dyDescent="0.25">
      <c r="B51" s="7"/>
    </row>
    <row r="52" spans="2:2" ht="15.75" customHeight="1" x14ac:dyDescent="0.25">
      <c r="B52" s="7"/>
    </row>
    <row r="53" spans="2:2" ht="15.75" customHeight="1" x14ac:dyDescent="0.25">
      <c r="B53" s="7"/>
    </row>
    <row r="54" spans="2:2" ht="15.75" customHeight="1" x14ac:dyDescent="0.25">
      <c r="B54" s="7"/>
    </row>
    <row r="55" spans="2:2" ht="15.75" customHeight="1" x14ac:dyDescent="0.25">
      <c r="B55" s="7"/>
    </row>
    <row r="56" spans="2:2" ht="15.75" customHeight="1" x14ac:dyDescent="0.25">
      <c r="B56" s="7"/>
    </row>
    <row r="57" spans="2:2" ht="15.75" customHeight="1" x14ac:dyDescent="0.25">
      <c r="B57" s="7"/>
    </row>
    <row r="58" spans="2:2" ht="15.75" customHeight="1" x14ac:dyDescent="0.25">
      <c r="B58" s="7"/>
    </row>
    <row r="59" spans="2:2" ht="15.75" customHeight="1" x14ac:dyDescent="0.25">
      <c r="B59" s="7"/>
    </row>
    <row r="60" spans="2:2" ht="15.75" customHeight="1" x14ac:dyDescent="0.25">
      <c r="B60" s="7"/>
    </row>
    <row r="61" spans="2:2" ht="15.75" customHeight="1" x14ac:dyDescent="0.25">
      <c r="B61" s="7"/>
    </row>
    <row r="62" spans="2:2" ht="15.75" customHeight="1" x14ac:dyDescent="0.25">
      <c r="B62" s="7"/>
    </row>
    <row r="63" spans="2:2" ht="15.75" customHeight="1" x14ac:dyDescent="0.25">
      <c r="B63" s="7"/>
    </row>
    <row r="64" spans="2:2" ht="15.75" customHeight="1" x14ac:dyDescent="0.25">
      <c r="B64" s="7"/>
    </row>
    <row r="65" spans="2:2" ht="15.75" customHeight="1" x14ac:dyDescent="0.25">
      <c r="B65" s="7"/>
    </row>
    <row r="66" spans="2:2" ht="15.75" customHeight="1" x14ac:dyDescent="0.25">
      <c r="B66" s="7"/>
    </row>
    <row r="67" spans="2:2" ht="15.75" customHeight="1" x14ac:dyDescent="0.25">
      <c r="B67" s="7"/>
    </row>
    <row r="68" spans="2:2" ht="15.75" customHeight="1" x14ac:dyDescent="0.25">
      <c r="B68" s="7"/>
    </row>
    <row r="69" spans="2:2" ht="15.75" customHeight="1" x14ac:dyDescent="0.25">
      <c r="B69" s="7"/>
    </row>
    <row r="70" spans="2:2" ht="15.75" customHeight="1" x14ac:dyDescent="0.25">
      <c r="B70" s="7"/>
    </row>
    <row r="71" spans="2:2" ht="15.75" customHeight="1" x14ac:dyDescent="0.25">
      <c r="B71" s="7"/>
    </row>
    <row r="72" spans="2:2" ht="15.75" customHeight="1" x14ac:dyDescent="0.25">
      <c r="B72" s="7"/>
    </row>
    <row r="73" spans="2:2" ht="15.75" customHeight="1" x14ac:dyDescent="0.25">
      <c r="B73" s="7"/>
    </row>
    <row r="74" spans="2:2" ht="15.75" customHeight="1" x14ac:dyDescent="0.25">
      <c r="B74" s="7"/>
    </row>
    <row r="75" spans="2:2" ht="15.75" customHeight="1" x14ac:dyDescent="0.25">
      <c r="B75" s="7"/>
    </row>
    <row r="76" spans="2:2" ht="15.75" customHeight="1" x14ac:dyDescent="0.25">
      <c r="B76" s="7"/>
    </row>
    <row r="77" spans="2:2" ht="15.75" customHeight="1" x14ac:dyDescent="0.25">
      <c r="B77" s="7"/>
    </row>
    <row r="78" spans="2:2" ht="15.75" customHeight="1" x14ac:dyDescent="0.25">
      <c r="B78" s="7"/>
    </row>
    <row r="79" spans="2:2" ht="15.75" customHeight="1" x14ac:dyDescent="0.25">
      <c r="B79" s="7"/>
    </row>
    <row r="80" spans="2:2" ht="15.75" customHeight="1" x14ac:dyDescent="0.25">
      <c r="B80" s="7"/>
    </row>
    <row r="81" spans="2:2" ht="15.75" customHeight="1" x14ac:dyDescent="0.25">
      <c r="B81" s="7"/>
    </row>
    <row r="82" spans="2:2" ht="15.75" customHeight="1" x14ac:dyDescent="0.25">
      <c r="B82" s="7"/>
    </row>
    <row r="83" spans="2:2" ht="15.75" customHeight="1" x14ac:dyDescent="0.25">
      <c r="B83" s="7"/>
    </row>
    <row r="84" spans="2:2" ht="15.75" customHeight="1" x14ac:dyDescent="0.25">
      <c r="B84" s="7"/>
    </row>
    <row r="85" spans="2:2" ht="15.75" customHeight="1" x14ac:dyDescent="0.25">
      <c r="B85" s="7"/>
    </row>
    <row r="86" spans="2:2" ht="15.75" customHeight="1" x14ac:dyDescent="0.25">
      <c r="B86" s="7"/>
    </row>
    <row r="87" spans="2:2" ht="15.75" customHeight="1" x14ac:dyDescent="0.25">
      <c r="B87" s="7"/>
    </row>
    <row r="88" spans="2:2" ht="15.75" customHeight="1" x14ac:dyDescent="0.25">
      <c r="B88" s="7"/>
    </row>
    <row r="89" spans="2:2" ht="15.75" customHeight="1" x14ac:dyDescent="0.25">
      <c r="B89" s="7"/>
    </row>
    <row r="90" spans="2:2" ht="15.75" customHeight="1" x14ac:dyDescent="0.25">
      <c r="B90" s="7"/>
    </row>
    <row r="91" spans="2:2" ht="15.75" customHeight="1" x14ac:dyDescent="0.25">
      <c r="B91" s="7"/>
    </row>
    <row r="92" spans="2:2" ht="15.75" customHeight="1" x14ac:dyDescent="0.25">
      <c r="B92" s="7"/>
    </row>
    <row r="93" spans="2:2" ht="15.75" customHeight="1" x14ac:dyDescent="0.25">
      <c r="B93" s="7"/>
    </row>
    <row r="94" spans="2:2" ht="15.75" customHeight="1" x14ac:dyDescent="0.25">
      <c r="B94" s="7"/>
    </row>
    <row r="95" spans="2:2" ht="15.75" customHeight="1" x14ac:dyDescent="0.25">
      <c r="B95" s="7"/>
    </row>
    <row r="96" spans="2:2" ht="15.75" customHeight="1" x14ac:dyDescent="0.25">
      <c r="B96" s="7"/>
    </row>
    <row r="97" spans="2:2" ht="15.75" customHeight="1" x14ac:dyDescent="0.25">
      <c r="B97" s="7"/>
    </row>
    <row r="98" spans="2:2" ht="15.75" customHeight="1" x14ac:dyDescent="0.25">
      <c r="B98" s="7"/>
    </row>
    <row r="99" spans="2:2" ht="15.75" customHeight="1" x14ac:dyDescent="0.25">
      <c r="B99" s="7"/>
    </row>
    <row r="100" spans="2:2" ht="15.75" customHeight="1" x14ac:dyDescent="0.25">
      <c r="B100" s="7"/>
    </row>
    <row r="101" spans="2:2" ht="15.75" customHeight="1" x14ac:dyDescent="0.25">
      <c r="B101" s="7"/>
    </row>
    <row r="102" spans="2:2" ht="15.75" customHeight="1" x14ac:dyDescent="0.25">
      <c r="B102" s="7"/>
    </row>
    <row r="103" spans="2:2" ht="15.75" customHeight="1" x14ac:dyDescent="0.25">
      <c r="B103" s="7"/>
    </row>
    <row r="104" spans="2:2" ht="15.75" customHeight="1" x14ac:dyDescent="0.25">
      <c r="B104" s="7"/>
    </row>
    <row r="105" spans="2:2" ht="15.75" customHeight="1" x14ac:dyDescent="0.25">
      <c r="B105" s="7"/>
    </row>
    <row r="106" spans="2:2" ht="15.75" customHeight="1" x14ac:dyDescent="0.25">
      <c r="B106" s="7"/>
    </row>
    <row r="107" spans="2:2" ht="15.75" customHeight="1" x14ac:dyDescent="0.25">
      <c r="B107" s="7"/>
    </row>
    <row r="108" spans="2:2" ht="15.75" customHeight="1" x14ac:dyDescent="0.25">
      <c r="B108" s="7"/>
    </row>
    <row r="109" spans="2:2" ht="15.75" customHeight="1" x14ac:dyDescent="0.25">
      <c r="B109" s="7"/>
    </row>
    <row r="110" spans="2:2" ht="15.75" customHeight="1" x14ac:dyDescent="0.25">
      <c r="B110" s="7"/>
    </row>
    <row r="111" spans="2:2" ht="15.75" customHeight="1" x14ac:dyDescent="0.25">
      <c r="B111" s="7"/>
    </row>
    <row r="112" spans="2:2" ht="15.75" customHeight="1" x14ac:dyDescent="0.25">
      <c r="B112" s="7"/>
    </row>
    <row r="113" spans="2:2" ht="15.75" customHeight="1" x14ac:dyDescent="0.25">
      <c r="B113" s="7"/>
    </row>
    <row r="114" spans="2:2" ht="15.75" customHeight="1" x14ac:dyDescent="0.25">
      <c r="B114" s="7"/>
    </row>
    <row r="115" spans="2:2" ht="15.75" customHeight="1" x14ac:dyDescent="0.25">
      <c r="B115" s="7"/>
    </row>
    <row r="116" spans="2:2" ht="15.75" customHeight="1" x14ac:dyDescent="0.25">
      <c r="B116" s="7"/>
    </row>
    <row r="117" spans="2:2" ht="15.75" customHeight="1" x14ac:dyDescent="0.25">
      <c r="B117" s="7"/>
    </row>
    <row r="118" spans="2:2" ht="15.75" customHeight="1" x14ac:dyDescent="0.25">
      <c r="B118" s="7"/>
    </row>
    <row r="119" spans="2:2" ht="15.75" customHeight="1" x14ac:dyDescent="0.25">
      <c r="B119" s="7"/>
    </row>
    <row r="120" spans="2:2" ht="15.75" customHeight="1" x14ac:dyDescent="0.25">
      <c r="B120" s="7"/>
    </row>
    <row r="121" spans="2:2" ht="15.75" customHeight="1" x14ac:dyDescent="0.25">
      <c r="B121" s="7"/>
    </row>
    <row r="122" spans="2:2" ht="15.75" customHeight="1" x14ac:dyDescent="0.25">
      <c r="B122" s="7"/>
    </row>
    <row r="123" spans="2:2" ht="15.75" customHeight="1" x14ac:dyDescent="0.25">
      <c r="B123" s="7"/>
    </row>
    <row r="124" spans="2:2" ht="15.75" customHeight="1" x14ac:dyDescent="0.25">
      <c r="B124" s="7"/>
    </row>
    <row r="125" spans="2:2" ht="15.75" customHeight="1" x14ac:dyDescent="0.25">
      <c r="B125" s="7"/>
    </row>
    <row r="126" spans="2:2" ht="15.75" customHeight="1" x14ac:dyDescent="0.25">
      <c r="B126" s="7"/>
    </row>
    <row r="127" spans="2:2" ht="15.75" customHeight="1" x14ac:dyDescent="0.25">
      <c r="B127" s="7"/>
    </row>
    <row r="128" spans="2:2" ht="15.75" customHeight="1" x14ac:dyDescent="0.25">
      <c r="B128" s="7"/>
    </row>
    <row r="129" spans="2:2" ht="15.75" customHeight="1" x14ac:dyDescent="0.25">
      <c r="B129" s="7"/>
    </row>
    <row r="130" spans="2:2" ht="15.75" customHeight="1" x14ac:dyDescent="0.25">
      <c r="B130" s="7"/>
    </row>
    <row r="131" spans="2:2" ht="15.75" customHeight="1" x14ac:dyDescent="0.25">
      <c r="B131" s="7"/>
    </row>
    <row r="132" spans="2:2" ht="15.75" customHeight="1" x14ac:dyDescent="0.25">
      <c r="B132" s="7"/>
    </row>
    <row r="133" spans="2:2" ht="15.75" customHeight="1" x14ac:dyDescent="0.25">
      <c r="B133" s="7"/>
    </row>
    <row r="134" spans="2:2" ht="15.75" customHeight="1" x14ac:dyDescent="0.25">
      <c r="B134" s="7"/>
    </row>
    <row r="135" spans="2:2" ht="15.75" customHeight="1" x14ac:dyDescent="0.25">
      <c r="B135" s="7"/>
    </row>
    <row r="136" spans="2:2" ht="15.75" customHeight="1" x14ac:dyDescent="0.25">
      <c r="B136" s="7"/>
    </row>
    <row r="137" spans="2:2" ht="15.75" customHeight="1" x14ac:dyDescent="0.25">
      <c r="B137" s="7"/>
    </row>
    <row r="138" spans="2:2" ht="15.75" customHeight="1" x14ac:dyDescent="0.25">
      <c r="B138" s="7"/>
    </row>
    <row r="139" spans="2:2" ht="15.75" customHeight="1" x14ac:dyDescent="0.25">
      <c r="B139" s="7"/>
    </row>
    <row r="140" spans="2:2" ht="15.75" customHeight="1" x14ac:dyDescent="0.25">
      <c r="B140" s="7"/>
    </row>
    <row r="141" spans="2:2" ht="15.75" customHeight="1" x14ac:dyDescent="0.25">
      <c r="B141" s="7"/>
    </row>
    <row r="142" spans="2:2" ht="15.75" customHeight="1" x14ac:dyDescent="0.25">
      <c r="B142" s="7"/>
    </row>
    <row r="143" spans="2:2" ht="15.75" customHeight="1" x14ac:dyDescent="0.25">
      <c r="B143" s="7"/>
    </row>
    <row r="144" spans="2:2" ht="15.75" customHeight="1" x14ac:dyDescent="0.25">
      <c r="B144" s="7"/>
    </row>
    <row r="145" spans="2:2" ht="15.75" customHeight="1" x14ac:dyDescent="0.25">
      <c r="B145" s="7"/>
    </row>
    <row r="146" spans="2:2" ht="15.75" customHeight="1" x14ac:dyDescent="0.25">
      <c r="B146" s="7"/>
    </row>
    <row r="147" spans="2:2" ht="15.75" customHeight="1" x14ac:dyDescent="0.25">
      <c r="B147" s="7"/>
    </row>
    <row r="148" spans="2:2" ht="15.75" customHeight="1" x14ac:dyDescent="0.25">
      <c r="B148" s="7"/>
    </row>
    <row r="149" spans="2:2" ht="15.75" customHeight="1" x14ac:dyDescent="0.25">
      <c r="B149" s="7"/>
    </row>
    <row r="150" spans="2:2" ht="15.75" customHeight="1" x14ac:dyDescent="0.25">
      <c r="B150" s="7"/>
    </row>
    <row r="151" spans="2:2" ht="15.75" customHeight="1" x14ac:dyDescent="0.25">
      <c r="B151" s="7"/>
    </row>
    <row r="152" spans="2:2" ht="15.75" customHeight="1" x14ac:dyDescent="0.25">
      <c r="B152" s="7"/>
    </row>
    <row r="153" spans="2:2" ht="15.75" customHeight="1" x14ac:dyDescent="0.25">
      <c r="B153" s="7"/>
    </row>
    <row r="154" spans="2:2" ht="15.75" customHeight="1" x14ac:dyDescent="0.25">
      <c r="B154" s="7"/>
    </row>
    <row r="155" spans="2:2" ht="15.75" customHeight="1" x14ac:dyDescent="0.25">
      <c r="B155" s="7"/>
    </row>
    <row r="156" spans="2:2" ht="15.75" customHeight="1" x14ac:dyDescent="0.25">
      <c r="B156" s="7"/>
    </row>
    <row r="157" spans="2:2" ht="15.75" customHeight="1" x14ac:dyDescent="0.25">
      <c r="B157" s="7"/>
    </row>
    <row r="158" spans="2:2" ht="15.75" customHeight="1" x14ac:dyDescent="0.25">
      <c r="B158" s="7"/>
    </row>
    <row r="159" spans="2:2" ht="15.75" customHeight="1" x14ac:dyDescent="0.25">
      <c r="B159" s="7"/>
    </row>
    <row r="160" spans="2:2" ht="15.75" customHeight="1" x14ac:dyDescent="0.25">
      <c r="B160" s="7"/>
    </row>
    <row r="161" spans="2:2" ht="15.75" customHeight="1" x14ac:dyDescent="0.25">
      <c r="B161" s="7"/>
    </row>
    <row r="162" spans="2:2" ht="15.75" customHeight="1" x14ac:dyDescent="0.25">
      <c r="B162" s="7"/>
    </row>
    <row r="163" spans="2:2" ht="15.75" customHeight="1" x14ac:dyDescent="0.25">
      <c r="B163" s="7"/>
    </row>
    <row r="164" spans="2:2" ht="15.75" customHeight="1" x14ac:dyDescent="0.25">
      <c r="B164" s="7"/>
    </row>
    <row r="165" spans="2:2" ht="15.75" customHeight="1" x14ac:dyDescent="0.25">
      <c r="B165" s="7"/>
    </row>
    <row r="166" spans="2:2" ht="15.75" customHeight="1" x14ac:dyDescent="0.25">
      <c r="B166" s="7"/>
    </row>
    <row r="167" spans="2:2" ht="15.75" customHeight="1" x14ac:dyDescent="0.25">
      <c r="B167" s="7"/>
    </row>
    <row r="168" spans="2:2" ht="15.75" customHeight="1" x14ac:dyDescent="0.25">
      <c r="B168" s="7"/>
    </row>
    <row r="169" spans="2:2" ht="15.75" customHeight="1" x14ac:dyDescent="0.25">
      <c r="B169" s="7"/>
    </row>
    <row r="170" spans="2:2" ht="15.75" customHeight="1" x14ac:dyDescent="0.25">
      <c r="B170" s="7"/>
    </row>
    <row r="171" spans="2:2" ht="15.75" customHeight="1" x14ac:dyDescent="0.25">
      <c r="B171" s="7"/>
    </row>
    <row r="172" spans="2:2" ht="15.75" customHeight="1" x14ac:dyDescent="0.25">
      <c r="B172" s="7"/>
    </row>
    <row r="173" spans="2:2" ht="15.75" customHeight="1" x14ac:dyDescent="0.25">
      <c r="B173" s="7"/>
    </row>
    <row r="174" spans="2:2" ht="15.75" customHeight="1" x14ac:dyDescent="0.25">
      <c r="B174" s="7"/>
    </row>
    <row r="175" spans="2:2" ht="15.75" customHeight="1" x14ac:dyDescent="0.25">
      <c r="B175" s="7"/>
    </row>
    <row r="176" spans="2:2" ht="15.75" customHeight="1" x14ac:dyDescent="0.25">
      <c r="B176" s="7"/>
    </row>
    <row r="177" spans="2:2" ht="15.75" customHeight="1" x14ac:dyDescent="0.25">
      <c r="B177" s="7"/>
    </row>
    <row r="178" spans="2:2" ht="15.75" customHeight="1" x14ac:dyDescent="0.25">
      <c r="B178" s="7"/>
    </row>
    <row r="179" spans="2:2" ht="15.75" customHeight="1" x14ac:dyDescent="0.25">
      <c r="B179" s="7"/>
    </row>
    <row r="180" spans="2:2" ht="15.75" customHeight="1" x14ac:dyDescent="0.25">
      <c r="B180" s="7"/>
    </row>
    <row r="181" spans="2:2" ht="15.75" customHeight="1" x14ac:dyDescent="0.25">
      <c r="B181" s="7"/>
    </row>
    <row r="182" spans="2:2" ht="15.75" customHeight="1" x14ac:dyDescent="0.25">
      <c r="B182" s="7"/>
    </row>
    <row r="183" spans="2:2" ht="15.75" customHeight="1" x14ac:dyDescent="0.25">
      <c r="B183" s="7"/>
    </row>
    <row r="184" spans="2:2" ht="15.75" customHeight="1" x14ac:dyDescent="0.25">
      <c r="B184" s="7"/>
    </row>
    <row r="185" spans="2:2" ht="15.75" customHeight="1" x14ac:dyDescent="0.25">
      <c r="B185" s="7"/>
    </row>
    <row r="186" spans="2:2" ht="15.75" customHeight="1" x14ac:dyDescent="0.25">
      <c r="B186" s="7"/>
    </row>
    <row r="187" spans="2:2" ht="15.75" customHeight="1" x14ac:dyDescent="0.25">
      <c r="B187" s="7"/>
    </row>
    <row r="188" spans="2:2" ht="15.75" customHeight="1" x14ac:dyDescent="0.25">
      <c r="B188" s="7"/>
    </row>
    <row r="189" spans="2:2" ht="15.75" customHeight="1" x14ac:dyDescent="0.25">
      <c r="B189" s="7"/>
    </row>
    <row r="190" spans="2:2" ht="15.75" customHeight="1" x14ac:dyDescent="0.25">
      <c r="B190" s="7"/>
    </row>
    <row r="191" spans="2:2" ht="15.75" customHeight="1" x14ac:dyDescent="0.25">
      <c r="B191" s="7"/>
    </row>
    <row r="192" spans="2:2" ht="15.75" customHeight="1" x14ac:dyDescent="0.25">
      <c r="B192" s="7"/>
    </row>
    <row r="193" spans="2:2" ht="15.75" customHeight="1" x14ac:dyDescent="0.25">
      <c r="B193" s="7"/>
    </row>
    <row r="194" spans="2:2" ht="15.75" customHeight="1" x14ac:dyDescent="0.25">
      <c r="B194" s="7"/>
    </row>
    <row r="195" spans="2:2" ht="15.75" customHeight="1" x14ac:dyDescent="0.25">
      <c r="B195" s="7"/>
    </row>
    <row r="196" spans="2:2" ht="15.75" customHeight="1" x14ac:dyDescent="0.25">
      <c r="B196" s="7"/>
    </row>
    <row r="197" spans="2:2" ht="15.75" customHeight="1" x14ac:dyDescent="0.25">
      <c r="B197" s="7"/>
    </row>
    <row r="198" spans="2:2" ht="15.75" customHeight="1" x14ac:dyDescent="0.25">
      <c r="B198" s="7"/>
    </row>
    <row r="199" spans="2:2" ht="15.75" customHeight="1" x14ac:dyDescent="0.25">
      <c r="B199" s="7"/>
    </row>
    <row r="200" spans="2:2" ht="15.75" customHeight="1" x14ac:dyDescent="0.25">
      <c r="B200" s="7"/>
    </row>
    <row r="201" spans="2:2" ht="15.75" customHeight="1" x14ac:dyDescent="0.25">
      <c r="B201" s="7"/>
    </row>
    <row r="202" spans="2:2" ht="15.75" customHeight="1" x14ac:dyDescent="0.25">
      <c r="B202" s="7"/>
    </row>
    <row r="203" spans="2:2" ht="15.75" customHeight="1" x14ac:dyDescent="0.25">
      <c r="B203" s="7"/>
    </row>
    <row r="204" spans="2:2" ht="15.75" customHeight="1" x14ac:dyDescent="0.25">
      <c r="B204" s="7"/>
    </row>
    <row r="205" spans="2:2" ht="15.75" customHeight="1" x14ac:dyDescent="0.25">
      <c r="B205" s="7"/>
    </row>
    <row r="206" spans="2:2" ht="15.75" customHeight="1" x14ac:dyDescent="0.25">
      <c r="B206" s="7"/>
    </row>
    <row r="207" spans="2:2" ht="15.75" customHeight="1" x14ac:dyDescent="0.25">
      <c r="B207" s="7"/>
    </row>
    <row r="208" spans="2:2" ht="15.75" customHeight="1" x14ac:dyDescent="0.25">
      <c r="B208" s="7"/>
    </row>
    <row r="209" spans="2:2" ht="15.75" customHeight="1" x14ac:dyDescent="0.25">
      <c r="B209" s="7"/>
    </row>
    <row r="210" spans="2:2" ht="15.75" customHeight="1" x14ac:dyDescent="0.25">
      <c r="B210" s="7"/>
    </row>
    <row r="211" spans="2:2" ht="15.75" customHeight="1" x14ac:dyDescent="0.25">
      <c r="B211" s="7"/>
    </row>
    <row r="212" spans="2:2" ht="15.75" customHeight="1" x14ac:dyDescent="0.25">
      <c r="B212" s="7"/>
    </row>
    <row r="213" spans="2:2" ht="15.75" customHeight="1" x14ac:dyDescent="0.25">
      <c r="B213" s="7"/>
    </row>
    <row r="214" spans="2:2" ht="15.75" customHeight="1" x14ac:dyDescent="0.25">
      <c r="B214" s="7"/>
    </row>
    <row r="215" spans="2:2" ht="15.75" customHeight="1" x14ac:dyDescent="0.25">
      <c r="B215" s="7"/>
    </row>
    <row r="216" spans="2:2" ht="15.75" customHeight="1" x14ac:dyDescent="0.25">
      <c r="B216" s="7"/>
    </row>
    <row r="217" spans="2:2" ht="15.75" customHeight="1" x14ac:dyDescent="0.25">
      <c r="B217" s="7"/>
    </row>
    <row r="218" spans="2:2" ht="15.75" customHeight="1" x14ac:dyDescent="0.25">
      <c r="B218" s="7"/>
    </row>
    <row r="219" spans="2:2" ht="15.75" customHeight="1" x14ac:dyDescent="0.25">
      <c r="B219" s="7"/>
    </row>
    <row r="220" spans="2:2" ht="15.75" customHeight="1" x14ac:dyDescent="0.25">
      <c r="B220" s="7"/>
    </row>
    <row r="221" spans="2:2" ht="15.75" customHeight="1" x14ac:dyDescent="0.25">
      <c r="B221" s="7"/>
    </row>
    <row r="222" spans="2:2" ht="15.75" customHeight="1" x14ac:dyDescent="0.25">
      <c r="B222" s="7"/>
    </row>
    <row r="223" spans="2:2" ht="15.75" customHeight="1" x14ac:dyDescent="0.25">
      <c r="B223" s="7"/>
    </row>
    <row r="224" spans="2:2" ht="15.75" customHeight="1" x14ac:dyDescent="0.25">
      <c r="B224" s="7"/>
    </row>
    <row r="225" spans="2:2" ht="15.75" customHeight="1" x14ac:dyDescent="0.25">
      <c r="B225" s="7"/>
    </row>
    <row r="226" spans="2:2" ht="15.75" customHeight="1" x14ac:dyDescent="0.25">
      <c r="B226" s="7"/>
    </row>
    <row r="227" spans="2:2" ht="15.75" customHeight="1" x14ac:dyDescent="0.25">
      <c r="B227" s="7"/>
    </row>
    <row r="228" spans="2:2" ht="15.75" customHeight="1" x14ac:dyDescent="0.25">
      <c r="B228" s="7"/>
    </row>
    <row r="229" spans="2:2" ht="15.75" customHeight="1" x14ac:dyDescent="0.25">
      <c r="B229" s="7"/>
    </row>
    <row r="230" spans="2:2" ht="15.75" customHeight="1" x14ac:dyDescent="0.25">
      <c r="B230" s="7"/>
    </row>
    <row r="231" spans="2:2" ht="15.75" customHeight="1" x14ac:dyDescent="0.25">
      <c r="B231" s="7"/>
    </row>
    <row r="232" spans="2:2" ht="15.75" customHeight="1" x14ac:dyDescent="0.25">
      <c r="B232" s="7"/>
    </row>
    <row r="233" spans="2:2" ht="15.75" customHeight="1" x14ac:dyDescent="0.25">
      <c r="B233" s="7"/>
    </row>
    <row r="234" spans="2:2" ht="15.75" customHeight="1" x14ac:dyDescent="0.25">
      <c r="B234" s="7"/>
    </row>
    <row r="235" spans="2:2" ht="15.75" customHeight="1" x14ac:dyDescent="0.25">
      <c r="B235" s="7"/>
    </row>
    <row r="236" spans="2:2" ht="15.75" customHeight="1" x14ac:dyDescent="0.25">
      <c r="B236" s="7"/>
    </row>
    <row r="237" spans="2:2" ht="15.75" customHeight="1" x14ac:dyDescent="0.25">
      <c r="B237" s="7"/>
    </row>
    <row r="238" spans="2:2" ht="15.75" customHeight="1" x14ac:dyDescent="0.25">
      <c r="B238" s="7"/>
    </row>
    <row r="239" spans="2:2" ht="15.75" customHeight="1" x14ac:dyDescent="0.25">
      <c r="B239" s="7"/>
    </row>
    <row r="240" spans="2:2" ht="15.75" customHeight="1" x14ac:dyDescent="0.25">
      <c r="B240" s="7"/>
    </row>
    <row r="241" spans="2:2" ht="15.75" customHeight="1" x14ac:dyDescent="0.25">
      <c r="B241" s="7"/>
    </row>
    <row r="242" spans="2:2" ht="15.75" customHeight="1" x14ac:dyDescent="0.25">
      <c r="B242" s="7"/>
    </row>
    <row r="243" spans="2:2" ht="15.75" customHeight="1" x14ac:dyDescent="0.25">
      <c r="B243" s="7"/>
    </row>
    <row r="244" spans="2:2" ht="15.75" customHeight="1" x14ac:dyDescent="0.25">
      <c r="B244" s="7"/>
    </row>
    <row r="245" spans="2:2" ht="15.75" customHeight="1" x14ac:dyDescent="0.25">
      <c r="B245" s="7"/>
    </row>
    <row r="246" spans="2:2" ht="15.75" customHeight="1" x14ac:dyDescent="0.25">
      <c r="B246" s="7"/>
    </row>
    <row r="247" spans="2:2" ht="15.75" customHeight="1" x14ac:dyDescent="0.25">
      <c r="B247" s="7"/>
    </row>
    <row r="248" spans="2:2" ht="15.75" customHeight="1" x14ac:dyDescent="0.25">
      <c r="B248" s="7"/>
    </row>
    <row r="249" spans="2:2" ht="15.75" customHeight="1" x14ac:dyDescent="0.25">
      <c r="B249" s="7"/>
    </row>
    <row r="250" spans="2:2" ht="15.75" customHeight="1" x14ac:dyDescent="0.25">
      <c r="B250" s="7"/>
    </row>
    <row r="251" spans="2:2" ht="15.75" customHeight="1" x14ac:dyDescent="0.25">
      <c r="B251" s="7"/>
    </row>
    <row r="252" spans="2:2" ht="15.75" customHeight="1" x14ac:dyDescent="0.25">
      <c r="B252" s="7"/>
    </row>
    <row r="253" spans="2:2" ht="15.75" customHeight="1" x14ac:dyDescent="0.25">
      <c r="B253" s="7"/>
    </row>
    <row r="254" spans="2:2" ht="15.75" customHeight="1" x14ac:dyDescent="0.25">
      <c r="B254" s="7"/>
    </row>
    <row r="255" spans="2:2" ht="15.75" customHeight="1" x14ac:dyDescent="0.25">
      <c r="B255" s="7"/>
    </row>
    <row r="256" spans="2:2" ht="15.75" customHeight="1" x14ac:dyDescent="0.25">
      <c r="B256" s="7"/>
    </row>
    <row r="257" spans="2:2" ht="15.75" customHeight="1" x14ac:dyDescent="0.25">
      <c r="B257" s="7"/>
    </row>
    <row r="258" spans="2:2" ht="15.75" customHeight="1" x14ac:dyDescent="0.25">
      <c r="B258" s="7"/>
    </row>
    <row r="259" spans="2:2" ht="15.75" customHeight="1" x14ac:dyDescent="0.25">
      <c r="B259" s="7"/>
    </row>
    <row r="260" spans="2:2" ht="15.75" customHeight="1" x14ac:dyDescent="0.25">
      <c r="B260" s="7"/>
    </row>
    <row r="261" spans="2:2" ht="15.75" customHeight="1" x14ac:dyDescent="0.25">
      <c r="B261" s="7"/>
    </row>
    <row r="262" spans="2:2" ht="15.75" customHeight="1" x14ac:dyDescent="0.25">
      <c r="B262" s="7"/>
    </row>
    <row r="263" spans="2:2" ht="15.75" customHeight="1" x14ac:dyDescent="0.25">
      <c r="B263" s="7"/>
    </row>
    <row r="264" spans="2:2" ht="15.75" customHeight="1" x14ac:dyDescent="0.25">
      <c r="B264" s="7"/>
    </row>
    <row r="265" spans="2:2" ht="15.75" customHeight="1" x14ac:dyDescent="0.25">
      <c r="B265" s="7"/>
    </row>
    <row r="266" spans="2:2" ht="15.75" customHeight="1" x14ac:dyDescent="0.25">
      <c r="B266" s="7"/>
    </row>
    <row r="267" spans="2:2" ht="15.75" customHeight="1" x14ac:dyDescent="0.25">
      <c r="B267" s="7"/>
    </row>
    <row r="268" spans="2:2" ht="15.75" customHeight="1" x14ac:dyDescent="0.25">
      <c r="B268" s="7"/>
    </row>
    <row r="269" spans="2:2" ht="15.75" customHeight="1" x14ac:dyDescent="0.25">
      <c r="B269" s="7"/>
    </row>
    <row r="270" spans="2:2" ht="15.75" customHeight="1" x14ac:dyDescent="0.25">
      <c r="B270" s="7"/>
    </row>
    <row r="271" spans="2:2" ht="15.75" customHeight="1" x14ac:dyDescent="0.25">
      <c r="B271" s="7"/>
    </row>
    <row r="272" spans="2:2" ht="15.75" customHeight="1" x14ac:dyDescent="0.25">
      <c r="B272" s="7"/>
    </row>
    <row r="273" spans="2:2" ht="15.75" customHeight="1" x14ac:dyDescent="0.25">
      <c r="B273" s="7"/>
    </row>
    <row r="274" spans="2:2" ht="15.75" customHeight="1" x14ac:dyDescent="0.25">
      <c r="B274" s="7"/>
    </row>
    <row r="275" spans="2:2" ht="15.75" customHeight="1" x14ac:dyDescent="0.25">
      <c r="B275" s="7"/>
    </row>
    <row r="276" spans="2:2" ht="15.75" customHeight="1" x14ac:dyDescent="0.25">
      <c r="B276" s="7"/>
    </row>
    <row r="277" spans="2:2" ht="15.75" customHeight="1" x14ac:dyDescent="0.25">
      <c r="B277" s="7"/>
    </row>
    <row r="278" spans="2:2" ht="15.75" customHeight="1" x14ac:dyDescent="0.25">
      <c r="B278" s="7"/>
    </row>
    <row r="279" spans="2:2" ht="15.75" customHeight="1" x14ac:dyDescent="0.25">
      <c r="B279" s="7"/>
    </row>
    <row r="280" spans="2:2" ht="15.75" customHeight="1" x14ac:dyDescent="0.25">
      <c r="B280" s="7"/>
    </row>
    <row r="281" spans="2:2" ht="15.75" customHeight="1" x14ac:dyDescent="0.25">
      <c r="B281" s="7"/>
    </row>
    <row r="282" spans="2:2" ht="15.75" customHeight="1" x14ac:dyDescent="0.25">
      <c r="B282" s="7"/>
    </row>
    <row r="283" spans="2:2" ht="15.75" customHeight="1" x14ac:dyDescent="0.25">
      <c r="B283" s="7"/>
    </row>
    <row r="284" spans="2:2" ht="15.75" customHeight="1" x14ac:dyDescent="0.25">
      <c r="B284" s="7"/>
    </row>
    <row r="285" spans="2:2" ht="15.75" customHeight="1" x14ac:dyDescent="0.25">
      <c r="B285" s="7"/>
    </row>
    <row r="286" spans="2:2" ht="15.75" customHeight="1" x14ac:dyDescent="0.25">
      <c r="B286" s="7"/>
    </row>
    <row r="287" spans="2:2" ht="15.75" customHeight="1" x14ac:dyDescent="0.25">
      <c r="B287" s="7"/>
    </row>
    <row r="288" spans="2:2" ht="15.75" customHeight="1" x14ac:dyDescent="0.25">
      <c r="B288" s="7"/>
    </row>
    <row r="289" spans="2:2" ht="15.75" customHeight="1" x14ac:dyDescent="0.25">
      <c r="B289" s="7"/>
    </row>
    <row r="290" spans="2:2" ht="15.75" customHeight="1" x14ac:dyDescent="0.25">
      <c r="B290" s="7"/>
    </row>
    <row r="291" spans="2:2" ht="15.75" customHeight="1" x14ac:dyDescent="0.25">
      <c r="B291" s="7"/>
    </row>
    <row r="292" spans="2:2" ht="15.75" customHeight="1" x14ac:dyDescent="0.25">
      <c r="B292" s="7"/>
    </row>
    <row r="293" spans="2:2" ht="15.75" customHeight="1" x14ac:dyDescent="0.25">
      <c r="B293" s="7"/>
    </row>
    <row r="294" spans="2:2" ht="15.75" customHeight="1" x14ac:dyDescent="0.25">
      <c r="B294" s="7"/>
    </row>
    <row r="295" spans="2:2" ht="15.75" customHeight="1" x14ac:dyDescent="0.25">
      <c r="B295" s="7"/>
    </row>
    <row r="296" spans="2:2" ht="15.75" customHeight="1" x14ac:dyDescent="0.25">
      <c r="B296" s="7"/>
    </row>
    <row r="297" spans="2:2" ht="15.75" customHeight="1" x14ac:dyDescent="0.25">
      <c r="B297" s="7"/>
    </row>
    <row r="298" spans="2:2" ht="15.75" customHeight="1" x14ac:dyDescent="0.25">
      <c r="B298" s="7"/>
    </row>
    <row r="299" spans="2:2" ht="15.75" customHeight="1" x14ac:dyDescent="0.25">
      <c r="B299" s="7"/>
    </row>
    <row r="300" spans="2:2" ht="15.75" customHeight="1" x14ac:dyDescent="0.25">
      <c r="B300" s="7"/>
    </row>
    <row r="301" spans="2:2" ht="15.75" customHeight="1" x14ac:dyDescent="0.25">
      <c r="B301" s="7"/>
    </row>
    <row r="302" spans="2:2" ht="15.75" customHeight="1" x14ac:dyDescent="0.25">
      <c r="B302" s="7"/>
    </row>
    <row r="303" spans="2:2" ht="15.75" customHeight="1" x14ac:dyDescent="0.25">
      <c r="B303" s="7"/>
    </row>
    <row r="304" spans="2:2" ht="15.75" customHeight="1" x14ac:dyDescent="0.25">
      <c r="B304" s="7"/>
    </row>
    <row r="305" spans="2:2" ht="15.75" customHeight="1" x14ac:dyDescent="0.25">
      <c r="B305" s="7"/>
    </row>
    <row r="306" spans="2:2" ht="15.75" customHeight="1" x14ac:dyDescent="0.25">
      <c r="B306" s="7"/>
    </row>
    <row r="307" spans="2:2" ht="15.75" customHeight="1" x14ac:dyDescent="0.25">
      <c r="B307" s="7"/>
    </row>
    <row r="308" spans="2:2" ht="15.75" customHeight="1" x14ac:dyDescent="0.25">
      <c r="B308" s="7"/>
    </row>
    <row r="309" spans="2:2" ht="15.75" customHeight="1" x14ac:dyDescent="0.25">
      <c r="B309" s="7"/>
    </row>
    <row r="310" spans="2:2" ht="15.75" customHeight="1" x14ac:dyDescent="0.25">
      <c r="B310" s="7"/>
    </row>
    <row r="311" spans="2:2" ht="15.75" customHeight="1" x14ac:dyDescent="0.25">
      <c r="B311" s="7"/>
    </row>
    <row r="312" spans="2:2" ht="15.75" customHeight="1" x14ac:dyDescent="0.25">
      <c r="B312" s="7"/>
    </row>
    <row r="313" spans="2:2" ht="15.75" customHeight="1" x14ac:dyDescent="0.25">
      <c r="B313" s="7"/>
    </row>
    <row r="314" spans="2:2" ht="15.75" customHeight="1" x14ac:dyDescent="0.25">
      <c r="B314" s="7"/>
    </row>
    <row r="315" spans="2:2" ht="15.75" customHeight="1" x14ac:dyDescent="0.25">
      <c r="B315" s="7"/>
    </row>
    <row r="316" spans="2:2" ht="15.75" customHeight="1" x14ac:dyDescent="0.25">
      <c r="B316" s="7"/>
    </row>
    <row r="317" spans="2:2" ht="15.75" customHeight="1" x14ac:dyDescent="0.25">
      <c r="B317" s="7"/>
    </row>
    <row r="318" spans="2:2" ht="15.75" customHeight="1" x14ac:dyDescent="0.25">
      <c r="B318" s="7"/>
    </row>
    <row r="319" spans="2:2" ht="15.75" customHeight="1" x14ac:dyDescent="0.25">
      <c r="B319" s="7"/>
    </row>
    <row r="320" spans="2:2" ht="15.75" customHeight="1" x14ac:dyDescent="0.25">
      <c r="B320" s="7"/>
    </row>
    <row r="321" spans="2:2" ht="15.75" customHeight="1" x14ac:dyDescent="0.25">
      <c r="B321" s="7"/>
    </row>
    <row r="322" spans="2:2" ht="15.75" customHeight="1" x14ac:dyDescent="0.25">
      <c r="B322" s="7"/>
    </row>
    <row r="323" spans="2:2" ht="15.75" customHeight="1" x14ac:dyDescent="0.25">
      <c r="B323" s="7"/>
    </row>
    <row r="324" spans="2:2" ht="15.75" customHeight="1" x14ac:dyDescent="0.25">
      <c r="B324" s="7"/>
    </row>
    <row r="325" spans="2:2" ht="15.75" customHeight="1" x14ac:dyDescent="0.25">
      <c r="B325" s="7"/>
    </row>
    <row r="326" spans="2:2" ht="15.75" customHeight="1" x14ac:dyDescent="0.25">
      <c r="B326" s="7"/>
    </row>
    <row r="327" spans="2:2" ht="15.75" customHeight="1" x14ac:dyDescent="0.25">
      <c r="B327" s="7"/>
    </row>
    <row r="328" spans="2:2" ht="15.75" customHeight="1" x14ac:dyDescent="0.25">
      <c r="B328" s="7"/>
    </row>
    <row r="329" spans="2:2" ht="15.75" customHeight="1" x14ac:dyDescent="0.25">
      <c r="B329" s="7"/>
    </row>
    <row r="330" spans="2:2" ht="15.75" customHeight="1" x14ac:dyDescent="0.25">
      <c r="B330" s="7"/>
    </row>
    <row r="331" spans="2:2" ht="15.75" customHeight="1" x14ac:dyDescent="0.25">
      <c r="B331" s="7"/>
    </row>
    <row r="332" spans="2:2" ht="15.75" customHeight="1" x14ac:dyDescent="0.25">
      <c r="B332" s="7"/>
    </row>
    <row r="333" spans="2:2" ht="15.75" customHeight="1" x14ac:dyDescent="0.25">
      <c r="B333" s="7"/>
    </row>
    <row r="334" spans="2:2" ht="15.75" customHeight="1" x14ac:dyDescent="0.25">
      <c r="B334" s="7"/>
    </row>
    <row r="335" spans="2:2" ht="15.75" customHeight="1" x14ac:dyDescent="0.25">
      <c r="B335" s="7"/>
    </row>
    <row r="336" spans="2:2" ht="15.75" customHeight="1" x14ac:dyDescent="0.25">
      <c r="B336" s="7"/>
    </row>
    <row r="337" spans="2:2" ht="15.75" customHeight="1" x14ac:dyDescent="0.25">
      <c r="B337" s="7"/>
    </row>
    <row r="338" spans="2:2" ht="15.75" customHeight="1" x14ac:dyDescent="0.25">
      <c r="B338" s="7"/>
    </row>
    <row r="339" spans="2:2" ht="15.75" customHeight="1" x14ac:dyDescent="0.25">
      <c r="B339" s="7"/>
    </row>
    <row r="340" spans="2:2" ht="15.75" customHeight="1" x14ac:dyDescent="0.25">
      <c r="B340" s="7"/>
    </row>
    <row r="341" spans="2:2" ht="15.75" customHeight="1" x14ac:dyDescent="0.25">
      <c r="B341" s="7"/>
    </row>
    <row r="342" spans="2:2" ht="15.75" customHeight="1" x14ac:dyDescent="0.25">
      <c r="B342" s="7"/>
    </row>
    <row r="343" spans="2:2" ht="15.75" customHeight="1" x14ac:dyDescent="0.25">
      <c r="B343" s="7"/>
    </row>
    <row r="344" spans="2:2" ht="15.75" customHeight="1" x14ac:dyDescent="0.25">
      <c r="B344" s="7"/>
    </row>
    <row r="345" spans="2:2" ht="15.75" customHeight="1" x14ac:dyDescent="0.25">
      <c r="B345" s="7"/>
    </row>
    <row r="346" spans="2:2" ht="15.75" customHeight="1" x14ac:dyDescent="0.25">
      <c r="B346" s="7"/>
    </row>
    <row r="347" spans="2:2" ht="15.75" customHeight="1" x14ac:dyDescent="0.25">
      <c r="B347" s="7"/>
    </row>
    <row r="348" spans="2:2" ht="15.75" customHeight="1" x14ac:dyDescent="0.25">
      <c r="B348" s="7"/>
    </row>
    <row r="349" spans="2:2" ht="15.75" customHeight="1" x14ac:dyDescent="0.25">
      <c r="B349" s="7"/>
    </row>
    <row r="350" spans="2:2" ht="15.75" customHeight="1" x14ac:dyDescent="0.25">
      <c r="B350" s="7"/>
    </row>
    <row r="351" spans="2:2" ht="15.75" customHeight="1" x14ac:dyDescent="0.25">
      <c r="B351" s="7"/>
    </row>
    <row r="352" spans="2:2" ht="15.75" customHeight="1" x14ac:dyDescent="0.25">
      <c r="B352" s="7"/>
    </row>
    <row r="353" spans="2:2" ht="15.75" customHeight="1" x14ac:dyDescent="0.25">
      <c r="B353" s="7"/>
    </row>
    <row r="354" spans="2:2" ht="15.75" customHeight="1" x14ac:dyDescent="0.25">
      <c r="B354" s="7"/>
    </row>
    <row r="355" spans="2:2" ht="15.75" customHeight="1" x14ac:dyDescent="0.25">
      <c r="B355" s="7"/>
    </row>
    <row r="356" spans="2:2" ht="15.75" customHeight="1" x14ac:dyDescent="0.25">
      <c r="B356" s="7"/>
    </row>
    <row r="357" spans="2:2" ht="15.75" customHeight="1" x14ac:dyDescent="0.25">
      <c r="B357" s="7"/>
    </row>
    <row r="358" spans="2:2" ht="15.75" customHeight="1" x14ac:dyDescent="0.25">
      <c r="B358" s="7"/>
    </row>
    <row r="359" spans="2:2" ht="15.75" customHeight="1" x14ac:dyDescent="0.25">
      <c r="B359" s="7"/>
    </row>
    <row r="360" spans="2:2" ht="15.75" customHeight="1" x14ac:dyDescent="0.25">
      <c r="B360" s="7"/>
    </row>
    <row r="361" spans="2:2" ht="15.75" customHeight="1" x14ac:dyDescent="0.25">
      <c r="B361" s="7"/>
    </row>
    <row r="362" spans="2:2" ht="15.75" customHeight="1" x14ac:dyDescent="0.25">
      <c r="B362" s="7"/>
    </row>
    <row r="363" spans="2:2" ht="15.75" customHeight="1" x14ac:dyDescent="0.25">
      <c r="B363" s="7"/>
    </row>
    <row r="364" spans="2:2" ht="15.75" customHeight="1" x14ac:dyDescent="0.25">
      <c r="B364" s="7"/>
    </row>
    <row r="365" spans="2:2" ht="15.75" customHeight="1" x14ac:dyDescent="0.25">
      <c r="B365" s="7"/>
    </row>
    <row r="366" spans="2:2" ht="15.75" customHeight="1" x14ac:dyDescent="0.25">
      <c r="B366" s="7"/>
    </row>
    <row r="367" spans="2:2" ht="15.75" customHeight="1" x14ac:dyDescent="0.25">
      <c r="B367" s="7"/>
    </row>
    <row r="368" spans="2:2" ht="15.75" customHeight="1" x14ac:dyDescent="0.25">
      <c r="B368" s="7"/>
    </row>
    <row r="369" spans="2:2" ht="15.75" customHeight="1" x14ac:dyDescent="0.25">
      <c r="B369" s="7"/>
    </row>
    <row r="370" spans="2:2" ht="15.75" customHeight="1" x14ac:dyDescent="0.25">
      <c r="B370" s="7"/>
    </row>
    <row r="371" spans="2:2" ht="15.75" customHeight="1" x14ac:dyDescent="0.25">
      <c r="B371" s="7"/>
    </row>
    <row r="372" spans="2:2" ht="15.75" customHeight="1" x14ac:dyDescent="0.25">
      <c r="B372" s="7"/>
    </row>
    <row r="373" spans="2:2" ht="15.75" customHeight="1" x14ac:dyDescent="0.25">
      <c r="B373" s="7"/>
    </row>
    <row r="374" spans="2:2" ht="15.75" customHeight="1" x14ac:dyDescent="0.25">
      <c r="B374" s="7"/>
    </row>
    <row r="375" spans="2:2" ht="15.75" customHeight="1" x14ac:dyDescent="0.25">
      <c r="B375" s="7"/>
    </row>
    <row r="376" spans="2:2" ht="15.75" customHeight="1" x14ac:dyDescent="0.25">
      <c r="B376" s="7"/>
    </row>
    <row r="377" spans="2:2" ht="15.75" customHeight="1" x14ac:dyDescent="0.25">
      <c r="B377" s="7"/>
    </row>
    <row r="378" spans="2:2" ht="15.75" customHeight="1" x14ac:dyDescent="0.25">
      <c r="B378" s="7"/>
    </row>
    <row r="379" spans="2:2" ht="15.75" customHeight="1" x14ac:dyDescent="0.25">
      <c r="B379" s="7"/>
    </row>
    <row r="380" spans="2:2" ht="15.75" customHeight="1" x14ac:dyDescent="0.25">
      <c r="B380" s="7"/>
    </row>
    <row r="381" spans="2:2" ht="15.75" customHeight="1" x14ac:dyDescent="0.25">
      <c r="B381" s="7"/>
    </row>
    <row r="382" spans="2:2" ht="15.75" customHeight="1" x14ac:dyDescent="0.25">
      <c r="B382" s="7"/>
    </row>
    <row r="383" spans="2:2" ht="15.75" customHeight="1" x14ac:dyDescent="0.25">
      <c r="B383" s="7"/>
    </row>
    <row r="384" spans="2:2" ht="15.75" customHeight="1" x14ac:dyDescent="0.25">
      <c r="B384" s="7"/>
    </row>
    <row r="385" spans="2:2" ht="15.75" customHeight="1" x14ac:dyDescent="0.25">
      <c r="B385" s="7"/>
    </row>
    <row r="386" spans="2:2" ht="15.75" customHeight="1" x14ac:dyDescent="0.25">
      <c r="B386" s="7"/>
    </row>
    <row r="387" spans="2:2" ht="15.75" customHeight="1" x14ac:dyDescent="0.25">
      <c r="B387" s="7"/>
    </row>
    <row r="388" spans="2:2" ht="15.75" customHeight="1" x14ac:dyDescent="0.25">
      <c r="B388" s="7"/>
    </row>
    <row r="389" spans="2:2" ht="15.75" customHeight="1" x14ac:dyDescent="0.25">
      <c r="B389" s="7"/>
    </row>
    <row r="390" spans="2:2" ht="15.75" customHeight="1" x14ac:dyDescent="0.25">
      <c r="B390" s="7"/>
    </row>
    <row r="391" spans="2:2" ht="15.75" customHeight="1" x14ac:dyDescent="0.25">
      <c r="B391" s="7"/>
    </row>
    <row r="392" spans="2:2" ht="15.75" customHeight="1" x14ac:dyDescent="0.25">
      <c r="B392" s="7"/>
    </row>
    <row r="393" spans="2:2" ht="15.75" customHeight="1" x14ac:dyDescent="0.25">
      <c r="B393" s="7"/>
    </row>
    <row r="394" spans="2:2" ht="15.75" customHeight="1" x14ac:dyDescent="0.25">
      <c r="B394" s="7"/>
    </row>
    <row r="395" spans="2:2" ht="15.75" customHeight="1" x14ac:dyDescent="0.25">
      <c r="B395" s="7"/>
    </row>
    <row r="396" spans="2:2" ht="15.75" customHeight="1" x14ac:dyDescent="0.25">
      <c r="B396" s="7"/>
    </row>
    <row r="397" spans="2:2" ht="15.75" customHeight="1" x14ac:dyDescent="0.25">
      <c r="B397" s="7"/>
    </row>
    <row r="398" spans="2:2" ht="15.75" customHeight="1" x14ac:dyDescent="0.25">
      <c r="B398" s="7"/>
    </row>
    <row r="399" spans="2:2" ht="15.75" customHeight="1" x14ac:dyDescent="0.25">
      <c r="B399" s="7"/>
    </row>
    <row r="400" spans="2:2" ht="15.75" customHeight="1" x14ac:dyDescent="0.25">
      <c r="B400" s="7"/>
    </row>
    <row r="401" spans="2:2" ht="15.75" customHeight="1" x14ac:dyDescent="0.25">
      <c r="B401" s="7"/>
    </row>
    <row r="402" spans="2:2" ht="15.75" customHeight="1" x14ac:dyDescent="0.25">
      <c r="B402" s="7"/>
    </row>
    <row r="403" spans="2:2" ht="15.75" customHeight="1" x14ac:dyDescent="0.25">
      <c r="B403" s="7"/>
    </row>
    <row r="404" spans="2:2" ht="15.75" customHeight="1" x14ac:dyDescent="0.25">
      <c r="B404" s="7"/>
    </row>
    <row r="405" spans="2:2" ht="15.75" customHeight="1" x14ac:dyDescent="0.25">
      <c r="B405" s="7"/>
    </row>
    <row r="406" spans="2:2" ht="15.75" customHeight="1" x14ac:dyDescent="0.25">
      <c r="B406" s="7"/>
    </row>
    <row r="407" spans="2:2" ht="15.75" customHeight="1" x14ac:dyDescent="0.25">
      <c r="B407" s="7"/>
    </row>
    <row r="408" spans="2:2" ht="15.75" customHeight="1" x14ac:dyDescent="0.25">
      <c r="B408" s="7"/>
    </row>
    <row r="409" spans="2:2" ht="15.75" customHeight="1" x14ac:dyDescent="0.25">
      <c r="B409" s="7"/>
    </row>
    <row r="410" spans="2:2" ht="15.75" customHeight="1" x14ac:dyDescent="0.25">
      <c r="B410" s="7"/>
    </row>
    <row r="411" spans="2:2" ht="15.75" customHeight="1" x14ac:dyDescent="0.25">
      <c r="B411" s="7"/>
    </row>
    <row r="412" spans="2:2" ht="15.75" customHeight="1" x14ac:dyDescent="0.25">
      <c r="B412" s="7"/>
    </row>
    <row r="413" spans="2:2" ht="15.75" customHeight="1" x14ac:dyDescent="0.25">
      <c r="B413" s="7"/>
    </row>
    <row r="414" spans="2:2" ht="15.75" customHeight="1" x14ac:dyDescent="0.25">
      <c r="B414" s="7"/>
    </row>
    <row r="415" spans="2:2" ht="15.75" customHeight="1" x14ac:dyDescent="0.25">
      <c r="B415" s="7"/>
    </row>
    <row r="416" spans="2:2" ht="15.75" customHeight="1" x14ac:dyDescent="0.25">
      <c r="B416" s="7"/>
    </row>
    <row r="417" spans="2:2" ht="15.75" customHeight="1" x14ac:dyDescent="0.25">
      <c r="B417" s="7"/>
    </row>
    <row r="418" spans="2:2" ht="15.75" customHeight="1" x14ac:dyDescent="0.25">
      <c r="B418" s="7"/>
    </row>
    <row r="419" spans="2:2" ht="15.75" customHeight="1" x14ac:dyDescent="0.25">
      <c r="B419" s="7"/>
    </row>
    <row r="420" spans="2:2" ht="15.75" customHeight="1" x14ac:dyDescent="0.25">
      <c r="B420" s="7"/>
    </row>
    <row r="421" spans="2:2" ht="15.75" customHeight="1" x14ac:dyDescent="0.25">
      <c r="B421" s="7"/>
    </row>
    <row r="422" spans="2:2" ht="15.75" customHeight="1" x14ac:dyDescent="0.25">
      <c r="B422" s="7"/>
    </row>
    <row r="423" spans="2:2" ht="15.75" customHeight="1" x14ac:dyDescent="0.25">
      <c r="B423" s="7"/>
    </row>
    <row r="424" spans="2:2" ht="15.75" customHeight="1" x14ac:dyDescent="0.25">
      <c r="B424" s="7"/>
    </row>
    <row r="425" spans="2:2" ht="15.75" customHeight="1" x14ac:dyDescent="0.25">
      <c r="B425" s="7"/>
    </row>
    <row r="426" spans="2:2" ht="15.75" customHeight="1" x14ac:dyDescent="0.25">
      <c r="B426" s="7"/>
    </row>
    <row r="427" spans="2:2" ht="15.75" customHeight="1" x14ac:dyDescent="0.25">
      <c r="B427" s="7"/>
    </row>
    <row r="428" spans="2:2" ht="15.75" customHeight="1" x14ac:dyDescent="0.25">
      <c r="B428" s="7"/>
    </row>
    <row r="429" spans="2:2" ht="15.75" customHeight="1" x14ac:dyDescent="0.25">
      <c r="B429" s="7"/>
    </row>
    <row r="430" spans="2:2" ht="15.75" customHeight="1" x14ac:dyDescent="0.25">
      <c r="B430" s="7"/>
    </row>
    <row r="431" spans="2:2" ht="15.75" customHeight="1" x14ac:dyDescent="0.25">
      <c r="B431" s="7"/>
    </row>
    <row r="432" spans="2:2" ht="15.75" customHeight="1" x14ac:dyDescent="0.25">
      <c r="B432" s="7"/>
    </row>
    <row r="433" spans="2:2" ht="15.75" customHeight="1" x14ac:dyDescent="0.25">
      <c r="B433" s="7"/>
    </row>
    <row r="434" spans="2:2" ht="15.75" customHeight="1" x14ac:dyDescent="0.25">
      <c r="B434" s="7"/>
    </row>
    <row r="435" spans="2:2" ht="15.75" customHeight="1" x14ac:dyDescent="0.25">
      <c r="B435" s="7"/>
    </row>
    <row r="436" spans="2:2" ht="15.75" customHeight="1" x14ac:dyDescent="0.25">
      <c r="B436" s="7"/>
    </row>
    <row r="437" spans="2:2" ht="15.75" customHeight="1" x14ac:dyDescent="0.25">
      <c r="B437" s="7"/>
    </row>
    <row r="438" spans="2:2" ht="15.75" customHeight="1" x14ac:dyDescent="0.25">
      <c r="B438" s="7"/>
    </row>
    <row r="439" spans="2:2" ht="15.75" customHeight="1" x14ac:dyDescent="0.25">
      <c r="B439" s="7"/>
    </row>
    <row r="440" spans="2:2" ht="15.75" customHeight="1" x14ac:dyDescent="0.25">
      <c r="B440" s="7"/>
    </row>
    <row r="441" spans="2:2" ht="15.75" customHeight="1" x14ac:dyDescent="0.25">
      <c r="B441" s="7"/>
    </row>
    <row r="442" spans="2:2" ht="15.75" customHeight="1" x14ac:dyDescent="0.25">
      <c r="B442" s="7"/>
    </row>
    <row r="443" spans="2:2" ht="15.75" customHeight="1" x14ac:dyDescent="0.25">
      <c r="B443" s="7"/>
    </row>
    <row r="444" spans="2:2" ht="15.75" customHeight="1" x14ac:dyDescent="0.25">
      <c r="B444" s="7"/>
    </row>
    <row r="445" spans="2:2" ht="15.75" customHeight="1" x14ac:dyDescent="0.25">
      <c r="B445" s="7"/>
    </row>
    <row r="446" spans="2:2" ht="15.75" customHeight="1" x14ac:dyDescent="0.25">
      <c r="B446" s="7"/>
    </row>
    <row r="447" spans="2:2" ht="15.75" customHeight="1" x14ac:dyDescent="0.25">
      <c r="B447" s="7"/>
    </row>
    <row r="448" spans="2:2" ht="15.75" customHeight="1" x14ac:dyDescent="0.25">
      <c r="B448" s="7"/>
    </row>
    <row r="449" spans="2:2" ht="15.75" customHeight="1" x14ac:dyDescent="0.25">
      <c r="B449" s="7"/>
    </row>
    <row r="450" spans="2:2" ht="15.75" customHeight="1" x14ac:dyDescent="0.25">
      <c r="B450" s="7"/>
    </row>
    <row r="451" spans="2:2" ht="15.75" customHeight="1" x14ac:dyDescent="0.25">
      <c r="B451" s="7"/>
    </row>
    <row r="452" spans="2:2" ht="15.75" customHeight="1" x14ac:dyDescent="0.25">
      <c r="B452" s="7"/>
    </row>
    <row r="453" spans="2:2" ht="15.75" customHeight="1" x14ac:dyDescent="0.25">
      <c r="B453" s="7"/>
    </row>
    <row r="454" spans="2:2" ht="15.75" customHeight="1" x14ac:dyDescent="0.25">
      <c r="B454" s="7"/>
    </row>
    <row r="455" spans="2:2" ht="15.75" customHeight="1" x14ac:dyDescent="0.25">
      <c r="B455" s="7"/>
    </row>
    <row r="456" spans="2:2" ht="15.75" customHeight="1" x14ac:dyDescent="0.25">
      <c r="B456" s="7"/>
    </row>
    <row r="457" spans="2:2" ht="15.75" customHeight="1" x14ac:dyDescent="0.25">
      <c r="B457" s="7"/>
    </row>
    <row r="458" spans="2:2" ht="15.75" customHeight="1" x14ac:dyDescent="0.25">
      <c r="B458" s="7"/>
    </row>
    <row r="459" spans="2:2" ht="15.75" customHeight="1" x14ac:dyDescent="0.25">
      <c r="B459" s="7"/>
    </row>
    <row r="460" spans="2:2" ht="15.75" customHeight="1" x14ac:dyDescent="0.25">
      <c r="B460" s="7"/>
    </row>
    <row r="461" spans="2:2" ht="15.75" customHeight="1" x14ac:dyDescent="0.25">
      <c r="B461" s="7"/>
    </row>
    <row r="462" spans="2:2" ht="15.75" customHeight="1" x14ac:dyDescent="0.25">
      <c r="B462" s="7"/>
    </row>
    <row r="463" spans="2:2" ht="15.75" customHeight="1" x14ac:dyDescent="0.25">
      <c r="B463" s="7"/>
    </row>
    <row r="464" spans="2:2" ht="15.75" customHeight="1" x14ac:dyDescent="0.25">
      <c r="B464" s="7"/>
    </row>
    <row r="465" spans="2:2" ht="15.75" customHeight="1" x14ac:dyDescent="0.25">
      <c r="B465" s="7"/>
    </row>
    <row r="466" spans="2:2" ht="15.75" customHeight="1" x14ac:dyDescent="0.25">
      <c r="B466" s="7"/>
    </row>
    <row r="467" spans="2:2" ht="15.75" customHeight="1" x14ac:dyDescent="0.25">
      <c r="B467" s="7"/>
    </row>
    <row r="468" spans="2:2" ht="15.75" customHeight="1" x14ac:dyDescent="0.25">
      <c r="B468" s="7"/>
    </row>
    <row r="469" spans="2:2" ht="15.75" customHeight="1" x14ac:dyDescent="0.25">
      <c r="B469" s="7"/>
    </row>
    <row r="470" spans="2:2" ht="15.75" customHeight="1" x14ac:dyDescent="0.25">
      <c r="B470" s="7"/>
    </row>
    <row r="471" spans="2:2" ht="15.75" customHeight="1" x14ac:dyDescent="0.25">
      <c r="B471" s="7"/>
    </row>
    <row r="472" spans="2:2" ht="15.75" customHeight="1" x14ac:dyDescent="0.25">
      <c r="B472" s="7"/>
    </row>
    <row r="473" spans="2:2" ht="15.75" customHeight="1" x14ac:dyDescent="0.25">
      <c r="B473" s="7"/>
    </row>
    <row r="474" spans="2:2" ht="15.75" customHeight="1" x14ac:dyDescent="0.25">
      <c r="B474" s="7"/>
    </row>
    <row r="475" spans="2:2" ht="15.75" customHeight="1" x14ac:dyDescent="0.25">
      <c r="B475" s="7"/>
    </row>
    <row r="476" spans="2:2" ht="15.75" customHeight="1" x14ac:dyDescent="0.25">
      <c r="B476" s="7"/>
    </row>
    <row r="477" spans="2:2" ht="15.75" customHeight="1" x14ac:dyDescent="0.25">
      <c r="B477" s="7"/>
    </row>
    <row r="478" spans="2:2" ht="15.75" customHeight="1" x14ac:dyDescent="0.25">
      <c r="B478" s="7"/>
    </row>
    <row r="479" spans="2:2" ht="15.75" customHeight="1" x14ac:dyDescent="0.25">
      <c r="B479" s="7"/>
    </row>
    <row r="480" spans="2:2" ht="15.75" customHeight="1" x14ac:dyDescent="0.25">
      <c r="B480" s="7"/>
    </row>
    <row r="481" spans="2:2" ht="15.75" customHeight="1" x14ac:dyDescent="0.25">
      <c r="B481" s="7"/>
    </row>
    <row r="482" spans="2:2" ht="15.75" customHeight="1" x14ac:dyDescent="0.25">
      <c r="B482" s="7"/>
    </row>
    <row r="483" spans="2:2" ht="15.75" customHeight="1" x14ac:dyDescent="0.25">
      <c r="B483" s="7"/>
    </row>
    <row r="484" spans="2:2" ht="15.75" customHeight="1" x14ac:dyDescent="0.25">
      <c r="B484" s="7"/>
    </row>
    <row r="485" spans="2:2" ht="15.75" customHeight="1" x14ac:dyDescent="0.25">
      <c r="B485" s="7"/>
    </row>
    <row r="486" spans="2:2" ht="15.75" customHeight="1" x14ac:dyDescent="0.25">
      <c r="B486" s="7"/>
    </row>
    <row r="487" spans="2:2" ht="15.75" customHeight="1" x14ac:dyDescent="0.25">
      <c r="B487" s="7"/>
    </row>
    <row r="488" spans="2:2" ht="15.75" customHeight="1" x14ac:dyDescent="0.25">
      <c r="B488" s="7"/>
    </row>
    <row r="489" spans="2:2" ht="15.75" customHeight="1" x14ac:dyDescent="0.25">
      <c r="B489" s="7"/>
    </row>
    <row r="490" spans="2:2" ht="15.75" customHeight="1" x14ac:dyDescent="0.25">
      <c r="B490" s="7"/>
    </row>
    <row r="491" spans="2:2" ht="15.75" customHeight="1" x14ac:dyDescent="0.25">
      <c r="B491" s="7"/>
    </row>
    <row r="492" spans="2:2" ht="15.75" customHeight="1" x14ac:dyDescent="0.25">
      <c r="B492" s="7"/>
    </row>
    <row r="493" spans="2:2" ht="15.75" customHeight="1" x14ac:dyDescent="0.25">
      <c r="B493" s="7"/>
    </row>
    <row r="494" spans="2:2" ht="15.75" customHeight="1" x14ac:dyDescent="0.25">
      <c r="B494" s="7"/>
    </row>
    <row r="495" spans="2:2" ht="15.75" customHeight="1" x14ac:dyDescent="0.25">
      <c r="B495" s="7"/>
    </row>
    <row r="496" spans="2:2" ht="15.75" customHeight="1" x14ac:dyDescent="0.25">
      <c r="B496" s="7"/>
    </row>
    <row r="497" spans="2:2" ht="15.75" customHeight="1" x14ac:dyDescent="0.25">
      <c r="B497" s="7"/>
    </row>
    <row r="498" spans="2:2" ht="15.75" customHeight="1" x14ac:dyDescent="0.25">
      <c r="B498" s="7"/>
    </row>
    <row r="499" spans="2:2" ht="15.75" customHeight="1" x14ac:dyDescent="0.25">
      <c r="B499" s="7"/>
    </row>
    <row r="500" spans="2:2" ht="15.75" customHeight="1" x14ac:dyDescent="0.25">
      <c r="B500" s="7"/>
    </row>
    <row r="501" spans="2:2" ht="15.75" customHeight="1" x14ac:dyDescent="0.25">
      <c r="B501" s="7"/>
    </row>
    <row r="502" spans="2:2" ht="15.75" customHeight="1" x14ac:dyDescent="0.25">
      <c r="B502" s="7"/>
    </row>
    <row r="503" spans="2:2" ht="15.75" customHeight="1" x14ac:dyDescent="0.25">
      <c r="B503" s="7"/>
    </row>
    <row r="504" spans="2:2" ht="15.75" customHeight="1" x14ac:dyDescent="0.25">
      <c r="B504" s="7"/>
    </row>
    <row r="505" spans="2:2" ht="15.75" customHeight="1" x14ac:dyDescent="0.25">
      <c r="B505" s="7"/>
    </row>
    <row r="506" spans="2:2" ht="15.75" customHeight="1" x14ac:dyDescent="0.25">
      <c r="B506" s="7"/>
    </row>
    <row r="507" spans="2:2" ht="15.75" customHeight="1" x14ac:dyDescent="0.25">
      <c r="B507" s="7"/>
    </row>
    <row r="508" spans="2:2" ht="15.75" customHeight="1" x14ac:dyDescent="0.25">
      <c r="B508" s="7"/>
    </row>
    <row r="509" spans="2:2" ht="15.75" customHeight="1" x14ac:dyDescent="0.25">
      <c r="B509" s="7"/>
    </row>
    <row r="510" spans="2:2" ht="15.75" customHeight="1" x14ac:dyDescent="0.25">
      <c r="B510" s="7"/>
    </row>
    <row r="511" spans="2:2" ht="15.75" customHeight="1" x14ac:dyDescent="0.25">
      <c r="B511" s="7"/>
    </row>
    <row r="512" spans="2:2" ht="15.75" customHeight="1" x14ac:dyDescent="0.25">
      <c r="B512" s="7"/>
    </row>
    <row r="513" spans="2:2" ht="15.75" customHeight="1" x14ac:dyDescent="0.25">
      <c r="B513" s="7"/>
    </row>
    <row r="514" spans="2:2" ht="15.75" customHeight="1" x14ac:dyDescent="0.25">
      <c r="B514" s="7"/>
    </row>
    <row r="515" spans="2:2" ht="15.75" customHeight="1" x14ac:dyDescent="0.25">
      <c r="B515" s="7"/>
    </row>
    <row r="516" spans="2:2" ht="15.75" customHeight="1" x14ac:dyDescent="0.25">
      <c r="B516" s="7"/>
    </row>
    <row r="517" spans="2:2" ht="15.75" customHeight="1" x14ac:dyDescent="0.25">
      <c r="B517" s="7"/>
    </row>
    <row r="518" spans="2:2" ht="15.75" customHeight="1" x14ac:dyDescent="0.25">
      <c r="B518" s="7"/>
    </row>
    <row r="519" spans="2:2" ht="15.75" customHeight="1" x14ac:dyDescent="0.25">
      <c r="B519" s="7"/>
    </row>
    <row r="520" spans="2:2" ht="15.75" customHeight="1" x14ac:dyDescent="0.25">
      <c r="B520" s="7"/>
    </row>
    <row r="521" spans="2:2" ht="15.75" customHeight="1" x14ac:dyDescent="0.25">
      <c r="B521" s="7"/>
    </row>
    <row r="522" spans="2:2" ht="15.75" customHeight="1" x14ac:dyDescent="0.25">
      <c r="B522" s="7"/>
    </row>
    <row r="523" spans="2:2" ht="15.75" customHeight="1" x14ac:dyDescent="0.25">
      <c r="B523" s="7"/>
    </row>
    <row r="524" spans="2:2" ht="15.75" customHeight="1" x14ac:dyDescent="0.25">
      <c r="B524" s="7"/>
    </row>
    <row r="525" spans="2:2" ht="15.75" customHeight="1" x14ac:dyDescent="0.25">
      <c r="B525" s="7"/>
    </row>
    <row r="526" spans="2:2" ht="15.75" customHeight="1" x14ac:dyDescent="0.25">
      <c r="B526" s="7"/>
    </row>
    <row r="527" spans="2:2" ht="15.75" customHeight="1" x14ac:dyDescent="0.25">
      <c r="B527" s="7"/>
    </row>
    <row r="528" spans="2:2" ht="15.75" customHeight="1" x14ac:dyDescent="0.25">
      <c r="B528" s="7"/>
    </row>
    <row r="529" spans="2:2" ht="15.75" customHeight="1" x14ac:dyDescent="0.25">
      <c r="B529" s="7"/>
    </row>
    <row r="530" spans="2:2" ht="15.75" customHeight="1" x14ac:dyDescent="0.25">
      <c r="B530" s="7"/>
    </row>
    <row r="531" spans="2:2" ht="15.75" customHeight="1" x14ac:dyDescent="0.25">
      <c r="B531" s="7"/>
    </row>
    <row r="532" spans="2:2" ht="15.75" customHeight="1" x14ac:dyDescent="0.25">
      <c r="B532" s="7"/>
    </row>
    <row r="533" spans="2:2" ht="15.75" customHeight="1" x14ac:dyDescent="0.25">
      <c r="B533" s="7"/>
    </row>
    <row r="534" spans="2:2" ht="15.75" customHeight="1" x14ac:dyDescent="0.25">
      <c r="B534" s="7"/>
    </row>
    <row r="535" spans="2:2" ht="15.75" customHeight="1" x14ac:dyDescent="0.25">
      <c r="B535" s="7"/>
    </row>
    <row r="536" spans="2:2" ht="15.75" customHeight="1" x14ac:dyDescent="0.25">
      <c r="B536" s="7"/>
    </row>
    <row r="537" spans="2:2" ht="15.75" customHeight="1" x14ac:dyDescent="0.25">
      <c r="B537" s="7"/>
    </row>
    <row r="538" spans="2:2" ht="15.75" customHeight="1" x14ac:dyDescent="0.25">
      <c r="B538" s="7"/>
    </row>
    <row r="539" spans="2:2" ht="15.75" customHeight="1" x14ac:dyDescent="0.25">
      <c r="B539" s="7"/>
    </row>
    <row r="540" spans="2:2" ht="15.75" customHeight="1" x14ac:dyDescent="0.25">
      <c r="B540" s="7"/>
    </row>
    <row r="541" spans="2:2" ht="15.75" customHeight="1" x14ac:dyDescent="0.25">
      <c r="B541" s="7"/>
    </row>
    <row r="542" spans="2:2" ht="15.75" customHeight="1" x14ac:dyDescent="0.25">
      <c r="B542" s="7"/>
    </row>
    <row r="543" spans="2:2" ht="15.75" customHeight="1" x14ac:dyDescent="0.25">
      <c r="B543" s="7"/>
    </row>
    <row r="544" spans="2:2" ht="15.75" customHeight="1" x14ac:dyDescent="0.25">
      <c r="B544" s="7"/>
    </row>
    <row r="545" spans="2:2" ht="15.75" customHeight="1" x14ac:dyDescent="0.25">
      <c r="B545" s="7"/>
    </row>
    <row r="546" spans="2:2" ht="15.75" customHeight="1" x14ac:dyDescent="0.25">
      <c r="B546" s="7"/>
    </row>
    <row r="547" spans="2:2" ht="15.75" customHeight="1" x14ac:dyDescent="0.25">
      <c r="B547" s="7"/>
    </row>
    <row r="548" spans="2:2" ht="15.75" customHeight="1" x14ac:dyDescent="0.25">
      <c r="B548" s="7"/>
    </row>
    <row r="549" spans="2:2" ht="15.75" customHeight="1" x14ac:dyDescent="0.25">
      <c r="B549" s="7"/>
    </row>
    <row r="550" spans="2:2" ht="15.75" customHeight="1" x14ac:dyDescent="0.25">
      <c r="B550" s="7"/>
    </row>
    <row r="551" spans="2:2" ht="15.75" customHeight="1" x14ac:dyDescent="0.25">
      <c r="B551" s="7"/>
    </row>
    <row r="552" spans="2:2" ht="15.75" customHeight="1" x14ac:dyDescent="0.25">
      <c r="B552" s="7"/>
    </row>
    <row r="553" spans="2:2" ht="15.75" customHeight="1" x14ac:dyDescent="0.25">
      <c r="B553" s="7"/>
    </row>
    <row r="554" spans="2:2" ht="15.75" customHeight="1" x14ac:dyDescent="0.25">
      <c r="B554" s="7"/>
    </row>
    <row r="555" spans="2:2" ht="15.75" customHeight="1" x14ac:dyDescent="0.25">
      <c r="B555" s="7"/>
    </row>
    <row r="556" spans="2:2" ht="15.75" customHeight="1" x14ac:dyDescent="0.25">
      <c r="B556" s="7"/>
    </row>
    <row r="557" spans="2:2" ht="15.75" customHeight="1" x14ac:dyDescent="0.25">
      <c r="B557" s="7"/>
    </row>
    <row r="558" spans="2:2" ht="15.75" customHeight="1" x14ac:dyDescent="0.25">
      <c r="B558" s="7"/>
    </row>
    <row r="559" spans="2:2" ht="15.75" customHeight="1" x14ac:dyDescent="0.25">
      <c r="B559" s="7"/>
    </row>
    <row r="560" spans="2:2" ht="15.75" customHeight="1" x14ac:dyDescent="0.25">
      <c r="B560" s="7"/>
    </row>
    <row r="561" spans="2:2" ht="15.75" customHeight="1" x14ac:dyDescent="0.25">
      <c r="B561" s="7"/>
    </row>
    <row r="562" spans="2:2" ht="15.75" customHeight="1" x14ac:dyDescent="0.25">
      <c r="B562" s="7"/>
    </row>
    <row r="563" spans="2:2" ht="15.75" customHeight="1" x14ac:dyDescent="0.25">
      <c r="B563" s="7"/>
    </row>
    <row r="564" spans="2:2" ht="15.75" customHeight="1" x14ac:dyDescent="0.25">
      <c r="B564" s="7"/>
    </row>
    <row r="565" spans="2:2" ht="15.75" customHeight="1" x14ac:dyDescent="0.25">
      <c r="B565" s="7"/>
    </row>
    <row r="566" spans="2:2" ht="15.75" customHeight="1" x14ac:dyDescent="0.25">
      <c r="B566" s="7"/>
    </row>
    <row r="567" spans="2:2" ht="15.75" customHeight="1" x14ac:dyDescent="0.25">
      <c r="B567" s="7"/>
    </row>
    <row r="568" spans="2:2" ht="15.75" customHeight="1" x14ac:dyDescent="0.25">
      <c r="B568" s="7"/>
    </row>
    <row r="569" spans="2:2" ht="15.75" customHeight="1" x14ac:dyDescent="0.25">
      <c r="B569" s="7"/>
    </row>
    <row r="570" spans="2:2" ht="15.75" customHeight="1" x14ac:dyDescent="0.25">
      <c r="B570" s="7"/>
    </row>
    <row r="571" spans="2:2" ht="15.75" customHeight="1" x14ac:dyDescent="0.25">
      <c r="B571" s="7"/>
    </row>
    <row r="572" spans="2:2" ht="15.75" customHeight="1" x14ac:dyDescent="0.25">
      <c r="B572" s="7"/>
    </row>
    <row r="573" spans="2:2" ht="15.75" customHeight="1" x14ac:dyDescent="0.25">
      <c r="B573" s="7"/>
    </row>
    <row r="574" spans="2:2" ht="15.75" customHeight="1" x14ac:dyDescent="0.25">
      <c r="B574" s="7"/>
    </row>
    <row r="575" spans="2:2" ht="15.75" customHeight="1" x14ac:dyDescent="0.25">
      <c r="B575" s="7"/>
    </row>
    <row r="576" spans="2:2" ht="15.75" customHeight="1" x14ac:dyDescent="0.25">
      <c r="B576" s="7"/>
    </row>
    <row r="577" spans="2:2" ht="15.75" customHeight="1" x14ac:dyDescent="0.25">
      <c r="B577" s="7"/>
    </row>
    <row r="578" spans="2:2" ht="15.75" customHeight="1" x14ac:dyDescent="0.25">
      <c r="B578" s="7"/>
    </row>
    <row r="579" spans="2:2" ht="15.75" customHeight="1" x14ac:dyDescent="0.25">
      <c r="B579" s="7"/>
    </row>
    <row r="580" spans="2:2" ht="15.75" customHeight="1" x14ac:dyDescent="0.25">
      <c r="B580" s="7"/>
    </row>
    <row r="581" spans="2:2" ht="15.75" customHeight="1" x14ac:dyDescent="0.25">
      <c r="B581" s="7"/>
    </row>
    <row r="582" spans="2:2" ht="15.75" customHeight="1" x14ac:dyDescent="0.25">
      <c r="B582" s="7"/>
    </row>
    <row r="583" spans="2:2" ht="15.75" customHeight="1" x14ac:dyDescent="0.25">
      <c r="B583" s="7"/>
    </row>
    <row r="584" spans="2:2" ht="15.75" customHeight="1" x14ac:dyDescent="0.25">
      <c r="B584" s="7"/>
    </row>
    <row r="585" spans="2:2" ht="15.75" customHeight="1" x14ac:dyDescent="0.25">
      <c r="B585" s="7"/>
    </row>
    <row r="586" spans="2:2" ht="15.75" customHeight="1" x14ac:dyDescent="0.25">
      <c r="B586" s="7"/>
    </row>
    <row r="587" spans="2:2" ht="15.75" customHeight="1" x14ac:dyDescent="0.25">
      <c r="B587" s="7"/>
    </row>
    <row r="588" spans="2:2" ht="15.75" customHeight="1" x14ac:dyDescent="0.25">
      <c r="B588" s="7"/>
    </row>
    <row r="589" spans="2:2" ht="15.75" customHeight="1" x14ac:dyDescent="0.25">
      <c r="B589" s="7"/>
    </row>
    <row r="590" spans="2:2" ht="15.75" customHeight="1" x14ac:dyDescent="0.25">
      <c r="B590" s="7"/>
    </row>
    <row r="591" spans="2:2" ht="15.75" customHeight="1" x14ac:dyDescent="0.25">
      <c r="B591" s="7"/>
    </row>
    <row r="592" spans="2:2" ht="15.75" customHeight="1" x14ac:dyDescent="0.25">
      <c r="B592" s="7"/>
    </row>
    <row r="593" spans="2:2" ht="15.75" customHeight="1" x14ac:dyDescent="0.25">
      <c r="B593" s="7"/>
    </row>
    <row r="594" spans="2:2" ht="15.75" customHeight="1" x14ac:dyDescent="0.25">
      <c r="B594" s="7"/>
    </row>
    <row r="595" spans="2:2" ht="15.75" customHeight="1" x14ac:dyDescent="0.25">
      <c r="B595" s="7"/>
    </row>
    <row r="596" spans="2:2" ht="15.75" customHeight="1" x14ac:dyDescent="0.25">
      <c r="B596" s="7"/>
    </row>
    <row r="597" spans="2:2" ht="15.75" customHeight="1" x14ac:dyDescent="0.25">
      <c r="B597" s="7"/>
    </row>
    <row r="598" spans="2:2" ht="15.75" customHeight="1" x14ac:dyDescent="0.25">
      <c r="B598" s="7"/>
    </row>
    <row r="599" spans="2:2" ht="15.75" customHeight="1" x14ac:dyDescent="0.25">
      <c r="B599" s="7"/>
    </row>
    <row r="600" spans="2:2" ht="15.75" customHeight="1" x14ac:dyDescent="0.25">
      <c r="B600" s="7"/>
    </row>
    <row r="601" spans="2:2" ht="15.75" customHeight="1" x14ac:dyDescent="0.25">
      <c r="B601" s="7"/>
    </row>
    <row r="602" spans="2:2" ht="15.75" customHeight="1" x14ac:dyDescent="0.25">
      <c r="B602" s="7"/>
    </row>
    <row r="603" spans="2:2" ht="15.75" customHeight="1" x14ac:dyDescent="0.25">
      <c r="B603" s="7"/>
    </row>
    <row r="604" spans="2:2" ht="15.75" customHeight="1" x14ac:dyDescent="0.25">
      <c r="B604" s="7"/>
    </row>
    <row r="605" spans="2:2" ht="15.75" customHeight="1" x14ac:dyDescent="0.25">
      <c r="B605" s="7"/>
    </row>
    <row r="606" spans="2:2" ht="15.75" customHeight="1" x14ac:dyDescent="0.25">
      <c r="B606" s="7"/>
    </row>
    <row r="607" spans="2:2" ht="15.75" customHeight="1" x14ac:dyDescent="0.25">
      <c r="B607" s="7"/>
    </row>
    <row r="608" spans="2:2" ht="15.75" customHeight="1" x14ac:dyDescent="0.25">
      <c r="B608" s="7"/>
    </row>
    <row r="609" spans="2:2" ht="15.75" customHeight="1" x14ac:dyDescent="0.25">
      <c r="B609" s="7"/>
    </row>
    <row r="610" spans="2:2" ht="15.75" customHeight="1" x14ac:dyDescent="0.25">
      <c r="B610" s="7"/>
    </row>
    <row r="611" spans="2:2" ht="15.75" customHeight="1" x14ac:dyDescent="0.25">
      <c r="B611" s="7"/>
    </row>
    <row r="612" spans="2:2" ht="15.75" customHeight="1" x14ac:dyDescent="0.25">
      <c r="B612" s="7"/>
    </row>
    <row r="613" spans="2:2" ht="15.75" customHeight="1" x14ac:dyDescent="0.25">
      <c r="B613" s="7"/>
    </row>
    <row r="614" spans="2:2" ht="15.75" customHeight="1" x14ac:dyDescent="0.25">
      <c r="B614" s="7"/>
    </row>
    <row r="615" spans="2:2" ht="15.75" customHeight="1" x14ac:dyDescent="0.25">
      <c r="B615" s="7"/>
    </row>
    <row r="616" spans="2:2" ht="15.75" customHeight="1" x14ac:dyDescent="0.25">
      <c r="B616" s="7"/>
    </row>
    <row r="617" spans="2:2" ht="15.75" customHeight="1" x14ac:dyDescent="0.25">
      <c r="B617" s="7"/>
    </row>
    <row r="618" spans="2:2" ht="15.75" customHeight="1" x14ac:dyDescent="0.25">
      <c r="B618" s="7"/>
    </row>
    <row r="619" spans="2:2" ht="15.75" customHeight="1" x14ac:dyDescent="0.25">
      <c r="B619" s="7"/>
    </row>
    <row r="620" spans="2:2" ht="15.75" customHeight="1" x14ac:dyDescent="0.25">
      <c r="B620" s="7"/>
    </row>
    <row r="621" spans="2:2" ht="15.75" customHeight="1" x14ac:dyDescent="0.25">
      <c r="B621" s="7"/>
    </row>
    <row r="622" spans="2:2" ht="15.75" customHeight="1" x14ac:dyDescent="0.25">
      <c r="B622" s="7"/>
    </row>
    <row r="623" spans="2:2" ht="15.75" customHeight="1" x14ac:dyDescent="0.25">
      <c r="B623" s="7"/>
    </row>
    <row r="624" spans="2:2" ht="15.75" customHeight="1" x14ac:dyDescent="0.25">
      <c r="B624" s="7"/>
    </row>
    <row r="625" spans="2:2" ht="15.75" customHeight="1" x14ac:dyDescent="0.25">
      <c r="B625" s="7"/>
    </row>
    <row r="626" spans="2:2" ht="15.75" customHeight="1" x14ac:dyDescent="0.25">
      <c r="B626" s="7"/>
    </row>
    <row r="627" spans="2:2" ht="15.75" customHeight="1" x14ac:dyDescent="0.25">
      <c r="B627" s="7"/>
    </row>
    <row r="628" spans="2:2" ht="15.75" customHeight="1" x14ac:dyDescent="0.25">
      <c r="B628" s="7"/>
    </row>
    <row r="629" spans="2:2" ht="15.75" customHeight="1" x14ac:dyDescent="0.25">
      <c r="B629" s="7"/>
    </row>
    <row r="630" spans="2:2" ht="15.75" customHeight="1" x14ac:dyDescent="0.25">
      <c r="B630" s="7"/>
    </row>
    <row r="631" spans="2:2" ht="15.75" customHeight="1" x14ac:dyDescent="0.25">
      <c r="B631" s="7"/>
    </row>
    <row r="632" spans="2:2" ht="15.75" customHeight="1" x14ac:dyDescent="0.25">
      <c r="B632" s="7"/>
    </row>
    <row r="633" spans="2:2" ht="15.75" customHeight="1" x14ac:dyDescent="0.25">
      <c r="B633" s="7"/>
    </row>
    <row r="634" spans="2:2" ht="15.75" customHeight="1" x14ac:dyDescent="0.25">
      <c r="B634" s="7"/>
    </row>
    <row r="635" spans="2:2" ht="15.75" customHeight="1" x14ac:dyDescent="0.25">
      <c r="B635" s="7"/>
    </row>
    <row r="636" spans="2:2" ht="15.75" customHeight="1" x14ac:dyDescent="0.25">
      <c r="B636" s="7"/>
    </row>
    <row r="637" spans="2:2" ht="15.75" customHeight="1" x14ac:dyDescent="0.25">
      <c r="B637" s="7"/>
    </row>
    <row r="638" spans="2:2" ht="15.75" customHeight="1" x14ac:dyDescent="0.25">
      <c r="B638" s="7"/>
    </row>
    <row r="639" spans="2:2" ht="15.75" customHeight="1" x14ac:dyDescent="0.25">
      <c r="B639" s="7"/>
    </row>
    <row r="640" spans="2:2" ht="15.75" customHeight="1" x14ac:dyDescent="0.25">
      <c r="B640" s="7"/>
    </row>
    <row r="641" spans="2:2" ht="15.75" customHeight="1" x14ac:dyDescent="0.25">
      <c r="B641" s="7"/>
    </row>
    <row r="642" spans="2:2" ht="15.75" customHeight="1" x14ac:dyDescent="0.25">
      <c r="B642" s="7"/>
    </row>
    <row r="643" spans="2:2" ht="15.75" customHeight="1" x14ac:dyDescent="0.25">
      <c r="B643" s="7"/>
    </row>
    <row r="644" spans="2:2" ht="15.75" customHeight="1" x14ac:dyDescent="0.25">
      <c r="B644" s="7"/>
    </row>
    <row r="645" spans="2:2" ht="15.75" customHeight="1" x14ac:dyDescent="0.25">
      <c r="B645" s="7"/>
    </row>
    <row r="646" spans="2:2" ht="15.75" customHeight="1" x14ac:dyDescent="0.25">
      <c r="B646" s="7"/>
    </row>
    <row r="647" spans="2:2" ht="15.75" customHeight="1" x14ac:dyDescent="0.25">
      <c r="B647" s="7"/>
    </row>
    <row r="648" spans="2:2" ht="15.75" customHeight="1" x14ac:dyDescent="0.25">
      <c r="B648" s="7"/>
    </row>
    <row r="649" spans="2:2" ht="15.75" customHeight="1" x14ac:dyDescent="0.25">
      <c r="B649" s="7"/>
    </row>
    <row r="650" spans="2:2" ht="15.75" customHeight="1" x14ac:dyDescent="0.25">
      <c r="B650" s="7"/>
    </row>
    <row r="651" spans="2:2" ht="15.75" customHeight="1" x14ac:dyDescent="0.25">
      <c r="B651" s="7"/>
    </row>
    <row r="652" spans="2:2" ht="15.75" customHeight="1" x14ac:dyDescent="0.25">
      <c r="B652" s="7"/>
    </row>
    <row r="653" spans="2:2" ht="15.75" customHeight="1" x14ac:dyDescent="0.25">
      <c r="B653" s="7"/>
    </row>
    <row r="654" spans="2:2" ht="15.75" customHeight="1" x14ac:dyDescent="0.25">
      <c r="B654" s="7"/>
    </row>
    <row r="655" spans="2:2" ht="15.75" customHeight="1" x14ac:dyDescent="0.25">
      <c r="B655" s="7"/>
    </row>
    <row r="656" spans="2:2" ht="15.75" customHeight="1" x14ac:dyDescent="0.25">
      <c r="B656" s="7"/>
    </row>
    <row r="657" spans="2:2" ht="15.75" customHeight="1" x14ac:dyDescent="0.25">
      <c r="B657" s="7"/>
    </row>
    <row r="658" spans="2:2" ht="15.75" customHeight="1" x14ac:dyDescent="0.25">
      <c r="B658" s="7"/>
    </row>
    <row r="659" spans="2:2" ht="15.75" customHeight="1" x14ac:dyDescent="0.25">
      <c r="B659" s="7"/>
    </row>
    <row r="660" spans="2:2" ht="15.75" customHeight="1" x14ac:dyDescent="0.25">
      <c r="B660" s="7"/>
    </row>
    <row r="661" spans="2:2" ht="15.75" customHeight="1" x14ac:dyDescent="0.25">
      <c r="B661" s="7"/>
    </row>
    <row r="662" spans="2:2" ht="15.75" customHeight="1" x14ac:dyDescent="0.25">
      <c r="B662" s="7"/>
    </row>
    <row r="663" spans="2:2" ht="15.75" customHeight="1" x14ac:dyDescent="0.25">
      <c r="B663" s="7"/>
    </row>
    <row r="664" spans="2:2" ht="15.75" customHeight="1" x14ac:dyDescent="0.25">
      <c r="B664" s="7"/>
    </row>
    <row r="665" spans="2:2" ht="15.75" customHeight="1" x14ac:dyDescent="0.25">
      <c r="B665" s="7"/>
    </row>
    <row r="666" spans="2:2" ht="15.75" customHeight="1" x14ac:dyDescent="0.25">
      <c r="B666" s="7"/>
    </row>
    <row r="667" spans="2:2" ht="15.75" customHeight="1" x14ac:dyDescent="0.25">
      <c r="B667" s="7"/>
    </row>
    <row r="668" spans="2:2" ht="15.75" customHeight="1" x14ac:dyDescent="0.25">
      <c r="B668" s="7"/>
    </row>
    <row r="669" spans="2:2" ht="15.75" customHeight="1" x14ac:dyDescent="0.25">
      <c r="B669" s="7"/>
    </row>
    <row r="670" spans="2:2" ht="15.75" customHeight="1" x14ac:dyDescent="0.25">
      <c r="B670" s="7"/>
    </row>
    <row r="671" spans="2:2" ht="15.75" customHeight="1" x14ac:dyDescent="0.25">
      <c r="B671" s="7"/>
    </row>
    <row r="672" spans="2:2" ht="15.75" customHeight="1" x14ac:dyDescent="0.25">
      <c r="B672" s="7"/>
    </row>
    <row r="673" spans="2:2" ht="15.75" customHeight="1" x14ac:dyDescent="0.25">
      <c r="B673" s="7"/>
    </row>
    <row r="674" spans="2:2" ht="15.75" customHeight="1" x14ac:dyDescent="0.25">
      <c r="B674" s="7"/>
    </row>
    <row r="675" spans="2:2" ht="15.75" customHeight="1" x14ac:dyDescent="0.25">
      <c r="B675" s="7"/>
    </row>
    <row r="676" spans="2:2" ht="15.75" customHeight="1" x14ac:dyDescent="0.25">
      <c r="B676" s="7"/>
    </row>
    <row r="677" spans="2:2" ht="15.75" customHeight="1" x14ac:dyDescent="0.25">
      <c r="B677" s="7"/>
    </row>
    <row r="678" spans="2:2" ht="15.75" customHeight="1" x14ac:dyDescent="0.25">
      <c r="B678" s="7"/>
    </row>
    <row r="679" spans="2:2" ht="15.75" customHeight="1" x14ac:dyDescent="0.25">
      <c r="B679" s="7"/>
    </row>
    <row r="680" spans="2:2" ht="15.75" customHeight="1" x14ac:dyDescent="0.25">
      <c r="B680" s="7"/>
    </row>
    <row r="681" spans="2:2" ht="15.75" customHeight="1" x14ac:dyDescent="0.25">
      <c r="B681" s="7"/>
    </row>
    <row r="682" spans="2:2" ht="15.75" customHeight="1" x14ac:dyDescent="0.25">
      <c r="B682" s="7"/>
    </row>
    <row r="683" spans="2:2" ht="15.75" customHeight="1" x14ac:dyDescent="0.25">
      <c r="B683" s="7"/>
    </row>
    <row r="684" spans="2:2" ht="15.75" customHeight="1" x14ac:dyDescent="0.25">
      <c r="B684" s="7"/>
    </row>
    <row r="685" spans="2:2" ht="15.75" customHeight="1" x14ac:dyDescent="0.25">
      <c r="B685" s="7"/>
    </row>
    <row r="686" spans="2:2" ht="15.75" customHeight="1" x14ac:dyDescent="0.25">
      <c r="B686" s="7"/>
    </row>
    <row r="687" spans="2:2" ht="15.75" customHeight="1" x14ac:dyDescent="0.25">
      <c r="B687" s="7"/>
    </row>
    <row r="688" spans="2:2" ht="15.75" customHeight="1" x14ac:dyDescent="0.25">
      <c r="B688" s="7"/>
    </row>
    <row r="689" spans="2:2" ht="15.75" customHeight="1" x14ac:dyDescent="0.25">
      <c r="B689" s="7"/>
    </row>
    <row r="690" spans="2:2" ht="15.75" customHeight="1" x14ac:dyDescent="0.25">
      <c r="B690" s="7"/>
    </row>
    <row r="691" spans="2:2" ht="15.75" customHeight="1" x14ac:dyDescent="0.25">
      <c r="B691" s="7"/>
    </row>
    <row r="692" spans="2:2" ht="15.75" customHeight="1" x14ac:dyDescent="0.25">
      <c r="B692" s="7"/>
    </row>
    <row r="693" spans="2:2" ht="15.75" customHeight="1" x14ac:dyDescent="0.25">
      <c r="B693" s="7"/>
    </row>
    <row r="694" spans="2:2" ht="15.75" customHeight="1" x14ac:dyDescent="0.25">
      <c r="B694" s="7"/>
    </row>
    <row r="695" spans="2:2" ht="15.75" customHeight="1" x14ac:dyDescent="0.25">
      <c r="B695" s="7"/>
    </row>
    <row r="696" spans="2:2" ht="15.75" customHeight="1" x14ac:dyDescent="0.25">
      <c r="B696" s="7"/>
    </row>
    <row r="697" spans="2:2" ht="15.75" customHeight="1" x14ac:dyDescent="0.25">
      <c r="B697" s="7"/>
    </row>
    <row r="698" spans="2:2" ht="15.75" customHeight="1" x14ac:dyDescent="0.25">
      <c r="B698" s="7"/>
    </row>
    <row r="699" spans="2:2" ht="15.75" customHeight="1" x14ac:dyDescent="0.25">
      <c r="B699" s="7"/>
    </row>
    <row r="700" spans="2:2" ht="15.75" customHeight="1" x14ac:dyDescent="0.25">
      <c r="B700" s="7"/>
    </row>
    <row r="701" spans="2:2" ht="15.75" customHeight="1" x14ac:dyDescent="0.25">
      <c r="B701" s="7"/>
    </row>
    <row r="702" spans="2:2" ht="15.75" customHeight="1" x14ac:dyDescent="0.25">
      <c r="B702" s="7"/>
    </row>
    <row r="703" spans="2:2" ht="15.75" customHeight="1" x14ac:dyDescent="0.25">
      <c r="B703" s="7"/>
    </row>
    <row r="704" spans="2:2" ht="15.75" customHeight="1" x14ac:dyDescent="0.25">
      <c r="B704" s="7"/>
    </row>
    <row r="705" spans="2:2" ht="15.75" customHeight="1" x14ac:dyDescent="0.25">
      <c r="B705" s="7"/>
    </row>
    <row r="706" spans="2:2" ht="15.75" customHeight="1" x14ac:dyDescent="0.25">
      <c r="B706" s="7"/>
    </row>
    <row r="707" spans="2:2" ht="15.75" customHeight="1" x14ac:dyDescent="0.25">
      <c r="B707" s="7"/>
    </row>
    <row r="708" spans="2:2" ht="15.75" customHeight="1" x14ac:dyDescent="0.25">
      <c r="B708" s="7"/>
    </row>
    <row r="709" spans="2:2" ht="15.75" customHeight="1" x14ac:dyDescent="0.25">
      <c r="B709" s="7"/>
    </row>
    <row r="710" spans="2:2" ht="15.75" customHeight="1" x14ac:dyDescent="0.25">
      <c r="B710" s="7"/>
    </row>
    <row r="711" spans="2:2" ht="15.75" customHeight="1" x14ac:dyDescent="0.25">
      <c r="B711" s="7"/>
    </row>
    <row r="712" spans="2:2" ht="15.75" customHeight="1" x14ac:dyDescent="0.25">
      <c r="B712" s="7"/>
    </row>
    <row r="713" spans="2:2" ht="15.75" customHeight="1" x14ac:dyDescent="0.25">
      <c r="B713" s="7"/>
    </row>
    <row r="714" spans="2:2" ht="15.75" customHeight="1" x14ac:dyDescent="0.25">
      <c r="B714" s="7"/>
    </row>
    <row r="715" spans="2:2" ht="15.75" customHeight="1" x14ac:dyDescent="0.25">
      <c r="B715" s="7"/>
    </row>
    <row r="716" spans="2:2" ht="15.75" customHeight="1" x14ac:dyDescent="0.25">
      <c r="B716" s="7"/>
    </row>
    <row r="717" spans="2:2" ht="15.75" customHeight="1" x14ac:dyDescent="0.25">
      <c r="B717" s="7"/>
    </row>
    <row r="718" spans="2:2" ht="15.75" customHeight="1" x14ac:dyDescent="0.25">
      <c r="B718" s="7"/>
    </row>
    <row r="719" spans="2:2" ht="15.75" customHeight="1" x14ac:dyDescent="0.25">
      <c r="B719" s="7"/>
    </row>
    <row r="720" spans="2:2" ht="15.75" customHeight="1" x14ac:dyDescent="0.25">
      <c r="B720" s="7"/>
    </row>
    <row r="721" spans="2:2" ht="15.75" customHeight="1" x14ac:dyDescent="0.25">
      <c r="B721" s="7"/>
    </row>
    <row r="722" spans="2:2" ht="15.75" customHeight="1" x14ac:dyDescent="0.25">
      <c r="B722" s="7"/>
    </row>
    <row r="723" spans="2:2" ht="15.75" customHeight="1" x14ac:dyDescent="0.25">
      <c r="B723" s="7"/>
    </row>
    <row r="724" spans="2:2" ht="15.75" customHeight="1" x14ac:dyDescent="0.25">
      <c r="B724" s="7"/>
    </row>
    <row r="725" spans="2:2" ht="15.75" customHeight="1" x14ac:dyDescent="0.25">
      <c r="B725" s="7"/>
    </row>
    <row r="726" spans="2:2" ht="15.75" customHeight="1" x14ac:dyDescent="0.25">
      <c r="B726" s="7"/>
    </row>
    <row r="727" spans="2:2" ht="15.75" customHeight="1" x14ac:dyDescent="0.25">
      <c r="B727" s="7"/>
    </row>
    <row r="728" spans="2:2" ht="15.75" customHeight="1" x14ac:dyDescent="0.25">
      <c r="B728" s="7"/>
    </row>
    <row r="729" spans="2:2" ht="15.75" customHeight="1" x14ac:dyDescent="0.25">
      <c r="B729" s="7"/>
    </row>
    <row r="730" spans="2:2" ht="15.75" customHeight="1" x14ac:dyDescent="0.25">
      <c r="B730" s="7"/>
    </row>
    <row r="731" spans="2:2" ht="15.75" customHeight="1" x14ac:dyDescent="0.25">
      <c r="B731" s="7"/>
    </row>
    <row r="732" spans="2:2" ht="15.75" customHeight="1" x14ac:dyDescent="0.25">
      <c r="B732" s="7"/>
    </row>
    <row r="733" spans="2:2" ht="15.75" customHeight="1" x14ac:dyDescent="0.25">
      <c r="B733" s="7"/>
    </row>
    <row r="734" spans="2:2" ht="15.75" customHeight="1" x14ac:dyDescent="0.25">
      <c r="B734" s="7"/>
    </row>
    <row r="735" spans="2:2" ht="15.75" customHeight="1" x14ac:dyDescent="0.25">
      <c r="B735" s="7"/>
    </row>
    <row r="736" spans="2:2" ht="15.75" customHeight="1" x14ac:dyDescent="0.25">
      <c r="B736" s="7"/>
    </row>
    <row r="737" spans="2:2" ht="15.75" customHeight="1" x14ac:dyDescent="0.25">
      <c r="B737" s="7"/>
    </row>
    <row r="738" spans="2:2" ht="15.75" customHeight="1" x14ac:dyDescent="0.25">
      <c r="B738" s="7"/>
    </row>
    <row r="739" spans="2:2" ht="15.75" customHeight="1" x14ac:dyDescent="0.25">
      <c r="B739" s="7"/>
    </row>
    <row r="740" spans="2:2" ht="15.75" customHeight="1" x14ac:dyDescent="0.25">
      <c r="B740" s="7"/>
    </row>
    <row r="741" spans="2:2" ht="15.75" customHeight="1" x14ac:dyDescent="0.25">
      <c r="B741" s="7"/>
    </row>
    <row r="742" spans="2:2" ht="15.75" customHeight="1" x14ac:dyDescent="0.25">
      <c r="B742" s="7"/>
    </row>
    <row r="743" spans="2:2" ht="15.75" customHeight="1" x14ac:dyDescent="0.25">
      <c r="B743" s="7"/>
    </row>
    <row r="744" spans="2:2" ht="15.75" customHeight="1" x14ac:dyDescent="0.25">
      <c r="B744" s="7"/>
    </row>
    <row r="745" spans="2:2" ht="15.75" customHeight="1" x14ac:dyDescent="0.25">
      <c r="B745" s="7"/>
    </row>
    <row r="746" spans="2:2" ht="15.75" customHeight="1" x14ac:dyDescent="0.25">
      <c r="B746" s="7"/>
    </row>
    <row r="747" spans="2:2" ht="15.75" customHeight="1" x14ac:dyDescent="0.25">
      <c r="B747" s="7"/>
    </row>
    <row r="748" spans="2:2" ht="15.75" customHeight="1" x14ac:dyDescent="0.25">
      <c r="B748" s="7"/>
    </row>
    <row r="749" spans="2:2" ht="15.75" customHeight="1" x14ac:dyDescent="0.25">
      <c r="B749" s="7"/>
    </row>
    <row r="750" spans="2:2" ht="15.75" customHeight="1" x14ac:dyDescent="0.25">
      <c r="B750" s="7"/>
    </row>
    <row r="751" spans="2:2" ht="15.75" customHeight="1" x14ac:dyDescent="0.25">
      <c r="B751" s="7"/>
    </row>
    <row r="752" spans="2:2" ht="15.75" customHeight="1" x14ac:dyDescent="0.25">
      <c r="B752" s="7"/>
    </row>
    <row r="753" spans="2:2" ht="15.75" customHeight="1" x14ac:dyDescent="0.25">
      <c r="B753" s="7"/>
    </row>
    <row r="754" spans="2:2" ht="15.75" customHeight="1" x14ac:dyDescent="0.25">
      <c r="B754" s="7"/>
    </row>
    <row r="755" spans="2:2" ht="15.75" customHeight="1" x14ac:dyDescent="0.25">
      <c r="B755" s="7"/>
    </row>
    <row r="756" spans="2:2" ht="15.75" customHeight="1" x14ac:dyDescent="0.25">
      <c r="B756" s="7"/>
    </row>
    <row r="757" spans="2:2" ht="15.75" customHeight="1" x14ac:dyDescent="0.25">
      <c r="B757" s="7"/>
    </row>
    <row r="758" spans="2:2" ht="15.75" customHeight="1" x14ac:dyDescent="0.25">
      <c r="B758" s="7"/>
    </row>
    <row r="759" spans="2:2" ht="15.75" customHeight="1" x14ac:dyDescent="0.25">
      <c r="B759" s="7"/>
    </row>
    <row r="760" spans="2:2" ht="15.75" customHeight="1" x14ac:dyDescent="0.25">
      <c r="B760" s="7"/>
    </row>
    <row r="761" spans="2:2" ht="15.75" customHeight="1" x14ac:dyDescent="0.25">
      <c r="B761" s="7"/>
    </row>
    <row r="762" spans="2:2" ht="15.75" customHeight="1" x14ac:dyDescent="0.25">
      <c r="B762" s="7"/>
    </row>
    <row r="763" spans="2:2" ht="15.75" customHeight="1" x14ac:dyDescent="0.25">
      <c r="B763" s="7"/>
    </row>
    <row r="764" spans="2:2" ht="15.75" customHeight="1" x14ac:dyDescent="0.25">
      <c r="B764" s="7"/>
    </row>
    <row r="765" spans="2:2" ht="15.75" customHeight="1" x14ac:dyDescent="0.25">
      <c r="B765" s="7"/>
    </row>
    <row r="766" spans="2:2" ht="15.75" customHeight="1" x14ac:dyDescent="0.25">
      <c r="B766" s="7"/>
    </row>
    <row r="767" spans="2:2" ht="15.75" customHeight="1" x14ac:dyDescent="0.25">
      <c r="B767" s="7"/>
    </row>
    <row r="768" spans="2:2" ht="15.75" customHeight="1" x14ac:dyDescent="0.25">
      <c r="B768" s="7"/>
    </row>
    <row r="769" spans="2:2" ht="15.75" customHeight="1" x14ac:dyDescent="0.25">
      <c r="B769" s="7"/>
    </row>
    <row r="770" spans="2:2" ht="15.75" customHeight="1" x14ac:dyDescent="0.25">
      <c r="B770" s="7"/>
    </row>
    <row r="771" spans="2:2" ht="15.75" customHeight="1" x14ac:dyDescent="0.25">
      <c r="B771" s="7"/>
    </row>
    <row r="772" spans="2:2" ht="15.75" customHeight="1" x14ac:dyDescent="0.25">
      <c r="B772" s="7"/>
    </row>
    <row r="773" spans="2:2" ht="15.75" customHeight="1" x14ac:dyDescent="0.25">
      <c r="B773" s="7"/>
    </row>
    <row r="774" spans="2:2" ht="15.75" customHeight="1" x14ac:dyDescent="0.25">
      <c r="B774" s="7"/>
    </row>
    <row r="775" spans="2:2" ht="15.75" customHeight="1" x14ac:dyDescent="0.25">
      <c r="B775" s="7"/>
    </row>
    <row r="776" spans="2:2" ht="15.75" customHeight="1" x14ac:dyDescent="0.25">
      <c r="B776" s="7"/>
    </row>
    <row r="777" spans="2:2" ht="15.75" customHeight="1" x14ac:dyDescent="0.25">
      <c r="B777" s="7"/>
    </row>
    <row r="778" spans="2:2" ht="15.75" customHeight="1" x14ac:dyDescent="0.25">
      <c r="B778" s="7"/>
    </row>
    <row r="779" spans="2:2" ht="15.75" customHeight="1" x14ac:dyDescent="0.25">
      <c r="B779" s="7"/>
    </row>
    <row r="780" spans="2:2" ht="15.75" customHeight="1" x14ac:dyDescent="0.25">
      <c r="B780" s="7"/>
    </row>
    <row r="781" spans="2:2" ht="15.75" customHeight="1" x14ac:dyDescent="0.25">
      <c r="B781" s="7"/>
    </row>
    <row r="782" spans="2:2" ht="15.75" customHeight="1" x14ac:dyDescent="0.25">
      <c r="B782" s="7"/>
    </row>
    <row r="783" spans="2:2" ht="15.75" customHeight="1" x14ac:dyDescent="0.25">
      <c r="B783" s="7"/>
    </row>
    <row r="784" spans="2:2" ht="15.75" customHeight="1" x14ac:dyDescent="0.25">
      <c r="B784" s="7"/>
    </row>
    <row r="785" spans="2:2" ht="15.75" customHeight="1" x14ac:dyDescent="0.25">
      <c r="B785" s="7"/>
    </row>
    <row r="786" spans="2:2" ht="15.75" customHeight="1" x14ac:dyDescent="0.25">
      <c r="B786" s="7"/>
    </row>
    <row r="787" spans="2:2" ht="15.75" customHeight="1" x14ac:dyDescent="0.25">
      <c r="B787" s="7"/>
    </row>
    <row r="788" spans="2:2" ht="15.75" customHeight="1" x14ac:dyDescent="0.25">
      <c r="B788" s="7"/>
    </row>
    <row r="789" spans="2:2" ht="15.75" customHeight="1" x14ac:dyDescent="0.25">
      <c r="B789" s="7"/>
    </row>
    <row r="790" spans="2:2" ht="15.75" customHeight="1" x14ac:dyDescent="0.25">
      <c r="B790" s="7"/>
    </row>
    <row r="791" spans="2:2" ht="15.75" customHeight="1" x14ac:dyDescent="0.25">
      <c r="B791" s="7"/>
    </row>
    <row r="792" spans="2:2" ht="15.75" customHeight="1" x14ac:dyDescent="0.25">
      <c r="B792" s="7"/>
    </row>
    <row r="793" spans="2:2" ht="15.75" customHeight="1" x14ac:dyDescent="0.25">
      <c r="B793" s="7"/>
    </row>
    <row r="794" spans="2:2" ht="15.75" customHeight="1" x14ac:dyDescent="0.25">
      <c r="B794" s="7"/>
    </row>
    <row r="795" spans="2:2" ht="15.75" customHeight="1" x14ac:dyDescent="0.25">
      <c r="B795" s="7"/>
    </row>
    <row r="796" spans="2:2" ht="15.75" customHeight="1" x14ac:dyDescent="0.25">
      <c r="B796" s="7"/>
    </row>
    <row r="797" spans="2:2" ht="15.75" customHeight="1" x14ac:dyDescent="0.25">
      <c r="B797" s="7"/>
    </row>
    <row r="798" spans="2:2" ht="15.75" customHeight="1" x14ac:dyDescent="0.25">
      <c r="B798" s="7"/>
    </row>
    <row r="799" spans="2:2" ht="15.75" customHeight="1" x14ac:dyDescent="0.25">
      <c r="B799" s="7"/>
    </row>
    <row r="800" spans="2:2" ht="15.75" customHeight="1" x14ac:dyDescent="0.25">
      <c r="B800" s="7"/>
    </row>
    <row r="801" spans="2:2" ht="15.75" customHeight="1" x14ac:dyDescent="0.25">
      <c r="B801" s="7"/>
    </row>
    <row r="802" spans="2:2" ht="15.75" customHeight="1" x14ac:dyDescent="0.25">
      <c r="B802" s="7"/>
    </row>
    <row r="803" spans="2:2" ht="15.75" customHeight="1" x14ac:dyDescent="0.25">
      <c r="B803" s="7"/>
    </row>
    <row r="804" spans="2:2" ht="15.75" customHeight="1" x14ac:dyDescent="0.25">
      <c r="B804" s="7"/>
    </row>
    <row r="805" spans="2:2" ht="15.75" customHeight="1" x14ac:dyDescent="0.25">
      <c r="B805" s="7"/>
    </row>
    <row r="806" spans="2:2" ht="15.75" customHeight="1" x14ac:dyDescent="0.25">
      <c r="B806" s="7"/>
    </row>
    <row r="807" spans="2:2" ht="15.75" customHeight="1" x14ac:dyDescent="0.25">
      <c r="B807" s="7"/>
    </row>
    <row r="808" spans="2:2" ht="15.75" customHeight="1" x14ac:dyDescent="0.25">
      <c r="B808" s="7"/>
    </row>
    <row r="809" spans="2:2" ht="15.75" customHeight="1" x14ac:dyDescent="0.25">
      <c r="B809" s="7"/>
    </row>
    <row r="810" spans="2:2" ht="15.75" customHeight="1" x14ac:dyDescent="0.25">
      <c r="B810" s="7"/>
    </row>
    <row r="811" spans="2:2" ht="15.75" customHeight="1" x14ac:dyDescent="0.25">
      <c r="B811" s="7"/>
    </row>
    <row r="812" spans="2:2" ht="15.75" customHeight="1" x14ac:dyDescent="0.25">
      <c r="B812" s="7"/>
    </row>
    <row r="813" spans="2:2" ht="15.75" customHeight="1" x14ac:dyDescent="0.25">
      <c r="B813" s="7"/>
    </row>
    <row r="814" spans="2:2" ht="15.75" customHeight="1" x14ac:dyDescent="0.25">
      <c r="B814" s="7"/>
    </row>
    <row r="815" spans="2:2" ht="15.75" customHeight="1" x14ac:dyDescent="0.25">
      <c r="B815" s="7"/>
    </row>
    <row r="816" spans="2:2" ht="15.75" customHeight="1" x14ac:dyDescent="0.25">
      <c r="B816" s="7"/>
    </row>
    <row r="817" spans="2:2" ht="15.75" customHeight="1" x14ac:dyDescent="0.25">
      <c r="B817" s="7"/>
    </row>
    <row r="818" spans="2:2" ht="15.75" customHeight="1" x14ac:dyDescent="0.25">
      <c r="B818" s="7"/>
    </row>
    <row r="819" spans="2:2" ht="15.75" customHeight="1" x14ac:dyDescent="0.25">
      <c r="B819" s="7"/>
    </row>
    <row r="820" spans="2:2" ht="15.75" customHeight="1" x14ac:dyDescent="0.25">
      <c r="B820" s="7"/>
    </row>
    <row r="821" spans="2:2" ht="15.75" customHeight="1" x14ac:dyDescent="0.25">
      <c r="B821" s="7"/>
    </row>
    <row r="822" spans="2:2" ht="15.75" customHeight="1" x14ac:dyDescent="0.25">
      <c r="B822" s="7"/>
    </row>
    <row r="823" spans="2:2" ht="15.75" customHeight="1" x14ac:dyDescent="0.25">
      <c r="B823" s="7"/>
    </row>
    <row r="824" spans="2:2" ht="15.75" customHeight="1" x14ac:dyDescent="0.25">
      <c r="B824" s="7"/>
    </row>
    <row r="825" spans="2:2" ht="15.75" customHeight="1" x14ac:dyDescent="0.25">
      <c r="B825" s="7"/>
    </row>
    <row r="826" spans="2:2" ht="15.75" customHeight="1" x14ac:dyDescent="0.25">
      <c r="B826" s="7"/>
    </row>
    <row r="827" spans="2:2" ht="15.75" customHeight="1" x14ac:dyDescent="0.25">
      <c r="B827" s="7"/>
    </row>
    <row r="828" spans="2:2" ht="15.75" customHeight="1" x14ac:dyDescent="0.25">
      <c r="B828" s="7"/>
    </row>
    <row r="829" spans="2:2" ht="15.75" customHeight="1" x14ac:dyDescent="0.25">
      <c r="B829" s="7"/>
    </row>
    <row r="830" spans="2:2" ht="15.75" customHeight="1" x14ac:dyDescent="0.25">
      <c r="B830" s="7"/>
    </row>
    <row r="831" spans="2:2" ht="15.75" customHeight="1" x14ac:dyDescent="0.25">
      <c r="B831" s="7"/>
    </row>
    <row r="832" spans="2:2" ht="15.75" customHeight="1" x14ac:dyDescent="0.25">
      <c r="B832" s="7"/>
    </row>
    <row r="833" spans="2:2" ht="15.75" customHeight="1" x14ac:dyDescent="0.25">
      <c r="B833" s="7"/>
    </row>
    <row r="834" spans="2:2" ht="15.75" customHeight="1" x14ac:dyDescent="0.25">
      <c r="B834" s="7"/>
    </row>
    <row r="835" spans="2:2" ht="15.75" customHeight="1" x14ac:dyDescent="0.25">
      <c r="B835" s="7"/>
    </row>
    <row r="836" spans="2:2" ht="15.75" customHeight="1" x14ac:dyDescent="0.25">
      <c r="B836" s="7"/>
    </row>
    <row r="837" spans="2:2" ht="15.75" customHeight="1" x14ac:dyDescent="0.25">
      <c r="B837" s="7"/>
    </row>
    <row r="838" spans="2:2" ht="15.75" customHeight="1" x14ac:dyDescent="0.25">
      <c r="B838" s="7"/>
    </row>
    <row r="839" spans="2:2" ht="15.75" customHeight="1" x14ac:dyDescent="0.25">
      <c r="B839" s="7"/>
    </row>
    <row r="840" spans="2:2" ht="15.75" customHeight="1" x14ac:dyDescent="0.25">
      <c r="B840" s="7"/>
    </row>
    <row r="841" spans="2:2" ht="15.75" customHeight="1" x14ac:dyDescent="0.25">
      <c r="B841" s="7"/>
    </row>
    <row r="842" spans="2:2" ht="15.75" customHeight="1" x14ac:dyDescent="0.25">
      <c r="B842" s="7"/>
    </row>
    <row r="843" spans="2:2" ht="15.75" customHeight="1" x14ac:dyDescent="0.25">
      <c r="B843" s="7"/>
    </row>
    <row r="844" spans="2:2" ht="15.75" customHeight="1" x14ac:dyDescent="0.25">
      <c r="B844" s="7"/>
    </row>
    <row r="845" spans="2:2" ht="15.75" customHeight="1" x14ac:dyDescent="0.25">
      <c r="B845" s="7"/>
    </row>
    <row r="846" spans="2:2" ht="15.75" customHeight="1" x14ac:dyDescent="0.25">
      <c r="B846" s="7"/>
    </row>
    <row r="847" spans="2:2" ht="15.75" customHeight="1" x14ac:dyDescent="0.25">
      <c r="B847" s="7"/>
    </row>
    <row r="848" spans="2:2" ht="15.75" customHeight="1" x14ac:dyDescent="0.25">
      <c r="B848" s="7"/>
    </row>
    <row r="849" spans="2:2" ht="15.75" customHeight="1" x14ac:dyDescent="0.25">
      <c r="B849" s="7"/>
    </row>
    <row r="850" spans="2:2" ht="15.75" customHeight="1" x14ac:dyDescent="0.25">
      <c r="B850" s="7"/>
    </row>
    <row r="851" spans="2:2" ht="15.75" customHeight="1" x14ac:dyDescent="0.25">
      <c r="B851" s="7"/>
    </row>
    <row r="852" spans="2:2" ht="15.75" customHeight="1" x14ac:dyDescent="0.25">
      <c r="B852" s="7"/>
    </row>
    <row r="853" spans="2:2" ht="15.75" customHeight="1" x14ac:dyDescent="0.25">
      <c r="B853" s="7"/>
    </row>
    <row r="854" spans="2:2" ht="15.75" customHeight="1" x14ac:dyDescent="0.25">
      <c r="B854" s="7"/>
    </row>
    <row r="855" spans="2:2" ht="15.75" customHeight="1" x14ac:dyDescent="0.25">
      <c r="B855" s="7"/>
    </row>
    <row r="856" spans="2:2" ht="15.75" customHeight="1" x14ac:dyDescent="0.25">
      <c r="B856" s="7"/>
    </row>
    <row r="857" spans="2:2" ht="15.75" customHeight="1" x14ac:dyDescent="0.25">
      <c r="B857" s="7"/>
    </row>
    <row r="858" spans="2:2" ht="15.75" customHeight="1" x14ac:dyDescent="0.25">
      <c r="B858" s="7"/>
    </row>
    <row r="859" spans="2:2" ht="15.75" customHeight="1" x14ac:dyDescent="0.25">
      <c r="B859" s="7"/>
    </row>
    <row r="860" spans="2:2" ht="15.75" customHeight="1" x14ac:dyDescent="0.25">
      <c r="B860" s="7"/>
    </row>
    <row r="861" spans="2:2" ht="15.75" customHeight="1" x14ac:dyDescent="0.25">
      <c r="B861" s="7"/>
    </row>
    <row r="862" spans="2:2" ht="15.75" customHeight="1" x14ac:dyDescent="0.25">
      <c r="B862" s="7"/>
    </row>
    <row r="863" spans="2:2" ht="15.75" customHeight="1" x14ac:dyDescent="0.25">
      <c r="B863" s="7"/>
    </row>
    <row r="864" spans="2:2" ht="15.75" customHeight="1" x14ac:dyDescent="0.25">
      <c r="B864" s="7"/>
    </row>
    <row r="865" spans="2:2" ht="15.75" customHeight="1" x14ac:dyDescent="0.25">
      <c r="B865" s="7"/>
    </row>
    <row r="866" spans="2:2" ht="15.75" customHeight="1" x14ac:dyDescent="0.25">
      <c r="B866" s="7"/>
    </row>
    <row r="867" spans="2:2" ht="15.75" customHeight="1" x14ac:dyDescent="0.25">
      <c r="B867" s="7"/>
    </row>
    <row r="868" spans="2:2" ht="15.75" customHeight="1" x14ac:dyDescent="0.25">
      <c r="B868" s="7"/>
    </row>
    <row r="869" spans="2:2" ht="15.75" customHeight="1" x14ac:dyDescent="0.25">
      <c r="B869" s="7"/>
    </row>
    <row r="870" spans="2:2" ht="15.75" customHeight="1" x14ac:dyDescent="0.25">
      <c r="B870" s="7"/>
    </row>
    <row r="871" spans="2:2" ht="15.75" customHeight="1" x14ac:dyDescent="0.25">
      <c r="B871" s="7"/>
    </row>
    <row r="872" spans="2:2" ht="15.75" customHeight="1" x14ac:dyDescent="0.25">
      <c r="B872" s="7"/>
    </row>
    <row r="873" spans="2:2" ht="15.75" customHeight="1" x14ac:dyDescent="0.25">
      <c r="B873" s="7"/>
    </row>
    <row r="874" spans="2:2" ht="15.75" customHeight="1" x14ac:dyDescent="0.25">
      <c r="B874" s="7"/>
    </row>
    <row r="875" spans="2:2" ht="15.75" customHeight="1" x14ac:dyDescent="0.25">
      <c r="B875" s="7"/>
    </row>
    <row r="876" spans="2:2" ht="15.75" customHeight="1" x14ac:dyDescent="0.25">
      <c r="B876" s="7"/>
    </row>
    <row r="877" spans="2:2" ht="15.75" customHeight="1" x14ac:dyDescent="0.25">
      <c r="B877" s="7"/>
    </row>
    <row r="878" spans="2:2" ht="15.75" customHeight="1" x14ac:dyDescent="0.25">
      <c r="B878" s="7"/>
    </row>
    <row r="879" spans="2:2" ht="15.75" customHeight="1" x14ac:dyDescent="0.25">
      <c r="B879" s="7"/>
    </row>
    <row r="880" spans="2:2" ht="15.75" customHeight="1" x14ac:dyDescent="0.25">
      <c r="B880" s="7"/>
    </row>
    <row r="881" spans="2:2" ht="15.75" customHeight="1" x14ac:dyDescent="0.25">
      <c r="B881" s="7"/>
    </row>
    <row r="882" spans="2:2" ht="15.75" customHeight="1" x14ac:dyDescent="0.25">
      <c r="B882" s="7"/>
    </row>
    <row r="883" spans="2:2" ht="15.75" customHeight="1" x14ac:dyDescent="0.25">
      <c r="B883" s="7"/>
    </row>
    <row r="884" spans="2:2" ht="15.75" customHeight="1" x14ac:dyDescent="0.25">
      <c r="B884" s="7"/>
    </row>
    <row r="885" spans="2:2" ht="15.75" customHeight="1" x14ac:dyDescent="0.25">
      <c r="B885" s="7"/>
    </row>
    <row r="886" spans="2:2" ht="15.75" customHeight="1" x14ac:dyDescent="0.25">
      <c r="B886" s="7"/>
    </row>
    <row r="887" spans="2:2" ht="15.75" customHeight="1" x14ac:dyDescent="0.25">
      <c r="B887" s="7"/>
    </row>
    <row r="888" spans="2:2" ht="15.75" customHeight="1" x14ac:dyDescent="0.25">
      <c r="B888" s="7"/>
    </row>
    <row r="889" spans="2:2" ht="15.75" customHeight="1" x14ac:dyDescent="0.25">
      <c r="B889" s="7"/>
    </row>
    <row r="890" spans="2:2" ht="15.75" customHeight="1" x14ac:dyDescent="0.25">
      <c r="B890" s="7"/>
    </row>
    <row r="891" spans="2:2" ht="15.75" customHeight="1" x14ac:dyDescent="0.25">
      <c r="B891" s="7"/>
    </row>
    <row r="892" spans="2:2" ht="15.75" customHeight="1" x14ac:dyDescent="0.25">
      <c r="B892" s="7"/>
    </row>
    <row r="893" spans="2:2" ht="15.75" customHeight="1" x14ac:dyDescent="0.25">
      <c r="B893" s="7"/>
    </row>
    <row r="894" spans="2:2" ht="15.75" customHeight="1" x14ac:dyDescent="0.25">
      <c r="B894" s="7"/>
    </row>
    <row r="895" spans="2:2" ht="15.75" customHeight="1" x14ac:dyDescent="0.25">
      <c r="B895" s="7"/>
    </row>
    <row r="896" spans="2:2" ht="15.75" customHeight="1" x14ac:dyDescent="0.25">
      <c r="B896" s="7"/>
    </row>
    <row r="897" spans="2:2" ht="15.75" customHeight="1" x14ac:dyDescent="0.25">
      <c r="B897" s="7"/>
    </row>
    <row r="898" spans="2:2" ht="15.75" customHeight="1" x14ac:dyDescent="0.25">
      <c r="B898" s="7"/>
    </row>
    <row r="899" spans="2:2" ht="15.75" customHeight="1" x14ac:dyDescent="0.25">
      <c r="B899" s="7"/>
    </row>
    <row r="900" spans="2:2" ht="15.75" customHeight="1" x14ac:dyDescent="0.25">
      <c r="B900" s="7"/>
    </row>
    <row r="901" spans="2:2" ht="15.75" customHeight="1" x14ac:dyDescent="0.25">
      <c r="B901" s="7"/>
    </row>
    <row r="902" spans="2:2" ht="15.75" customHeight="1" x14ac:dyDescent="0.25">
      <c r="B902" s="7"/>
    </row>
    <row r="903" spans="2:2" ht="15.75" customHeight="1" x14ac:dyDescent="0.25">
      <c r="B903" s="7"/>
    </row>
    <row r="904" spans="2:2" ht="15.75" customHeight="1" x14ac:dyDescent="0.25">
      <c r="B904" s="7"/>
    </row>
    <row r="905" spans="2:2" ht="15.75" customHeight="1" x14ac:dyDescent="0.25">
      <c r="B905" s="7"/>
    </row>
    <row r="906" spans="2:2" ht="15.75" customHeight="1" x14ac:dyDescent="0.25">
      <c r="B906" s="7"/>
    </row>
    <row r="907" spans="2:2" ht="15.75" customHeight="1" x14ac:dyDescent="0.25">
      <c r="B907" s="7"/>
    </row>
    <row r="908" spans="2:2" ht="15.75" customHeight="1" x14ac:dyDescent="0.25">
      <c r="B908" s="7"/>
    </row>
    <row r="909" spans="2:2" ht="15.75" customHeight="1" x14ac:dyDescent="0.25">
      <c r="B909" s="7"/>
    </row>
    <row r="910" spans="2:2" ht="15.75" customHeight="1" x14ac:dyDescent="0.25">
      <c r="B910" s="7"/>
    </row>
    <row r="911" spans="2:2" ht="15.75" customHeight="1" x14ac:dyDescent="0.25">
      <c r="B911" s="7"/>
    </row>
    <row r="912" spans="2:2" ht="15.75" customHeight="1" x14ac:dyDescent="0.25">
      <c r="B912" s="7"/>
    </row>
    <row r="913" spans="2:2" ht="15.75" customHeight="1" x14ac:dyDescent="0.25">
      <c r="B913" s="7"/>
    </row>
    <row r="914" spans="2:2" ht="15.75" customHeight="1" x14ac:dyDescent="0.25">
      <c r="B914" s="7"/>
    </row>
    <row r="915" spans="2:2" ht="15.75" customHeight="1" x14ac:dyDescent="0.25">
      <c r="B915" s="7"/>
    </row>
    <row r="916" spans="2:2" ht="15.75" customHeight="1" x14ac:dyDescent="0.25">
      <c r="B916" s="7"/>
    </row>
    <row r="917" spans="2:2" ht="15.75" customHeight="1" x14ac:dyDescent="0.25">
      <c r="B917" s="7"/>
    </row>
    <row r="918" spans="2:2" ht="15.75" customHeight="1" x14ac:dyDescent="0.25">
      <c r="B918" s="7"/>
    </row>
    <row r="919" spans="2:2" ht="15.75" customHeight="1" x14ac:dyDescent="0.25">
      <c r="B919" s="7"/>
    </row>
    <row r="920" spans="2:2" ht="15.75" customHeight="1" x14ac:dyDescent="0.25">
      <c r="B920" s="7"/>
    </row>
    <row r="921" spans="2:2" ht="15.75" customHeight="1" x14ac:dyDescent="0.25">
      <c r="B921" s="7"/>
    </row>
    <row r="922" spans="2:2" ht="15.75" customHeight="1" x14ac:dyDescent="0.25">
      <c r="B922" s="7"/>
    </row>
    <row r="923" spans="2:2" ht="15.75" customHeight="1" x14ac:dyDescent="0.25">
      <c r="B923" s="7"/>
    </row>
    <row r="924" spans="2:2" ht="15.75" customHeight="1" x14ac:dyDescent="0.25">
      <c r="B924" s="7"/>
    </row>
    <row r="925" spans="2:2" ht="15.75" customHeight="1" x14ac:dyDescent="0.25">
      <c r="B925" s="7"/>
    </row>
    <row r="926" spans="2:2" ht="15.75" customHeight="1" x14ac:dyDescent="0.25">
      <c r="B926" s="7"/>
    </row>
    <row r="927" spans="2:2" ht="15.75" customHeight="1" x14ac:dyDescent="0.25">
      <c r="B927" s="7"/>
    </row>
    <row r="928" spans="2:2" ht="15.75" customHeight="1" x14ac:dyDescent="0.25">
      <c r="B928" s="7"/>
    </row>
    <row r="929" spans="2:2" ht="15.75" customHeight="1" x14ac:dyDescent="0.25">
      <c r="B929" s="7"/>
    </row>
    <row r="930" spans="2:2" ht="15.75" customHeight="1" x14ac:dyDescent="0.25">
      <c r="B930" s="7"/>
    </row>
    <row r="931" spans="2:2" ht="15.75" customHeight="1" x14ac:dyDescent="0.25">
      <c r="B931" s="7"/>
    </row>
    <row r="932" spans="2:2" ht="15.75" customHeight="1" x14ac:dyDescent="0.25">
      <c r="B932" s="7"/>
    </row>
    <row r="933" spans="2:2" ht="15.75" customHeight="1" x14ac:dyDescent="0.25">
      <c r="B933" s="7"/>
    </row>
    <row r="934" spans="2:2" ht="15.75" customHeight="1" x14ac:dyDescent="0.25">
      <c r="B934" s="7"/>
    </row>
    <row r="935" spans="2:2" ht="15.75" customHeight="1" x14ac:dyDescent="0.25">
      <c r="B935" s="7"/>
    </row>
    <row r="936" spans="2:2" ht="15.75" customHeight="1" x14ac:dyDescent="0.25">
      <c r="B936" s="7"/>
    </row>
    <row r="937" spans="2:2" ht="15.75" customHeight="1" x14ac:dyDescent="0.25">
      <c r="B937" s="7"/>
    </row>
    <row r="938" spans="2:2" ht="15.75" customHeight="1" x14ac:dyDescent="0.25">
      <c r="B938" s="7"/>
    </row>
    <row r="939" spans="2:2" ht="15.75" customHeight="1" x14ac:dyDescent="0.25">
      <c r="B939" s="7"/>
    </row>
    <row r="940" spans="2:2" ht="15.75" customHeight="1" x14ac:dyDescent="0.25">
      <c r="B940" s="7"/>
    </row>
    <row r="941" spans="2:2" ht="15.75" customHeight="1" x14ac:dyDescent="0.25">
      <c r="B941" s="7"/>
    </row>
    <row r="942" spans="2:2" ht="15.75" customHeight="1" x14ac:dyDescent="0.25">
      <c r="B942" s="7"/>
    </row>
    <row r="943" spans="2:2" ht="15.75" customHeight="1" x14ac:dyDescent="0.25">
      <c r="B943" s="7"/>
    </row>
    <row r="944" spans="2:2" ht="15.75" customHeight="1" x14ac:dyDescent="0.25">
      <c r="B944" s="7"/>
    </row>
    <row r="945" spans="2:2" ht="15.75" customHeight="1" x14ac:dyDescent="0.25">
      <c r="B945" s="7"/>
    </row>
    <row r="946" spans="2:2" ht="15.75" customHeight="1" x14ac:dyDescent="0.25">
      <c r="B946" s="7"/>
    </row>
    <row r="947" spans="2:2" ht="15.75" customHeight="1" x14ac:dyDescent="0.25">
      <c r="B947" s="7"/>
    </row>
    <row r="948" spans="2:2" ht="15.75" customHeight="1" x14ac:dyDescent="0.25">
      <c r="B948" s="7"/>
    </row>
    <row r="949" spans="2:2" ht="15.75" customHeight="1" x14ac:dyDescent="0.25">
      <c r="B949" s="7"/>
    </row>
    <row r="950" spans="2:2" ht="15.75" customHeight="1" x14ac:dyDescent="0.25">
      <c r="B950" s="7"/>
    </row>
    <row r="951" spans="2:2" ht="15.75" customHeight="1" x14ac:dyDescent="0.25">
      <c r="B951" s="7"/>
    </row>
    <row r="952" spans="2:2" ht="15.75" customHeight="1" x14ac:dyDescent="0.25">
      <c r="B952" s="7"/>
    </row>
    <row r="953" spans="2:2" ht="15.75" customHeight="1" x14ac:dyDescent="0.25">
      <c r="B953" s="7"/>
    </row>
    <row r="954" spans="2:2" ht="15.75" customHeight="1" x14ac:dyDescent="0.25">
      <c r="B954" s="7"/>
    </row>
    <row r="955" spans="2:2" ht="15.75" customHeight="1" x14ac:dyDescent="0.25">
      <c r="B955" s="7"/>
    </row>
    <row r="956" spans="2:2" ht="15.75" customHeight="1" x14ac:dyDescent="0.25">
      <c r="B956" s="7"/>
    </row>
    <row r="957" spans="2:2" ht="15.75" customHeight="1" x14ac:dyDescent="0.25">
      <c r="B957" s="7"/>
    </row>
    <row r="958" spans="2:2" ht="15.75" customHeight="1" x14ac:dyDescent="0.25">
      <c r="B958" s="7"/>
    </row>
    <row r="959" spans="2:2" ht="15.75" customHeight="1" x14ac:dyDescent="0.25">
      <c r="B959" s="7"/>
    </row>
    <row r="960" spans="2:2" ht="15.75" customHeight="1" x14ac:dyDescent="0.25">
      <c r="B960" s="7"/>
    </row>
    <row r="961" spans="2:2" ht="15.75" customHeight="1" x14ac:dyDescent="0.25">
      <c r="B961" s="7"/>
    </row>
    <row r="962" spans="2:2" ht="15.75" customHeight="1" x14ac:dyDescent="0.25">
      <c r="B962" s="7"/>
    </row>
    <row r="963" spans="2:2" ht="15.75" customHeight="1" x14ac:dyDescent="0.25">
      <c r="B963" s="7"/>
    </row>
    <row r="964" spans="2:2" ht="15.75" customHeight="1" x14ac:dyDescent="0.25">
      <c r="B964" s="7"/>
    </row>
    <row r="965" spans="2:2" ht="15.75" customHeight="1" x14ac:dyDescent="0.25">
      <c r="B965" s="7"/>
    </row>
    <row r="966" spans="2:2" ht="15.75" customHeight="1" x14ac:dyDescent="0.25">
      <c r="B966" s="7"/>
    </row>
    <row r="967" spans="2:2" ht="15.75" customHeight="1" x14ac:dyDescent="0.25">
      <c r="B967" s="7"/>
    </row>
    <row r="968" spans="2:2" ht="15.75" customHeight="1" x14ac:dyDescent="0.25">
      <c r="B968" s="7"/>
    </row>
    <row r="969" spans="2:2" ht="15.75" customHeight="1" x14ac:dyDescent="0.25">
      <c r="B969" s="7"/>
    </row>
    <row r="970" spans="2:2" ht="15.75" customHeight="1" x14ac:dyDescent="0.25">
      <c r="B970" s="7"/>
    </row>
    <row r="971" spans="2:2" ht="15.75" customHeight="1" x14ac:dyDescent="0.25">
      <c r="B971" s="7"/>
    </row>
    <row r="972" spans="2:2" ht="15.75" customHeight="1" x14ac:dyDescent="0.25">
      <c r="B972" s="7"/>
    </row>
    <row r="973" spans="2:2" ht="15.75" customHeight="1" x14ac:dyDescent="0.25">
      <c r="B973" s="7"/>
    </row>
    <row r="974" spans="2:2" ht="15.75" customHeight="1" x14ac:dyDescent="0.25">
      <c r="B974" s="7"/>
    </row>
    <row r="975" spans="2:2" ht="15.75" customHeight="1" x14ac:dyDescent="0.25">
      <c r="B975" s="7"/>
    </row>
    <row r="976" spans="2:2" ht="15.75" customHeight="1" x14ac:dyDescent="0.25">
      <c r="B976" s="7"/>
    </row>
    <row r="977" spans="2:2" ht="15.75" customHeight="1" x14ac:dyDescent="0.25">
      <c r="B977" s="7"/>
    </row>
    <row r="978" spans="2:2" ht="15.75" customHeight="1" x14ac:dyDescent="0.25">
      <c r="B978" s="7"/>
    </row>
    <row r="979" spans="2:2" ht="15.75" customHeight="1" x14ac:dyDescent="0.25">
      <c r="B979" s="7"/>
    </row>
    <row r="980" spans="2:2" ht="15.75" customHeight="1" x14ac:dyDescent="0.25">
      <c r="B980" s="7"/>
    </row>
    <row r="981" spans="2:2" ht="15.75" customHeight="1" x14ac:dyDescent="0.25">
      <c r="B981" s="7"/>
    </row>
    <row r="982" spans="2:2" ht="15.75" customHeight="1" x14ac:dyDescent="0.25">
      <c r="B982" s="7"/>
    </row>
    <row r="983" spans="2:2" ht="15.75" customHeight="1" x14ac:dyDescent="0.25">
      <c r="B983" s="7"/>
    </row>
    <row r="984" spans="2:2" ht="15.75" customHeight="1" x14ac:dyDescent="0.25">
      <c r="B984" s="7"/>
    </row>
    <row r="985" spans="2:2" ht="15.75" customHeight="1" x14ac:dyDescent="0.25">
      <c r="B985" s="7"/>
    </row>
    <row r="986" spans="2:2" ht="15.75" customHeight="1" x14ac:dyDescent="0.25">
      <c r="B986" s="7"/>
    </row>
    <row r="987" spans="2:2" ht="15.75" customHeight="1" x14ac:dyDescent="0.25">
      <c r="B987" s="7"/>
    </row>
    <row r="988" spans="2:2" ht="15.75" customHeight="1" x14ac:dyDescent="0.25">
      <c r="B988" s="7"/>
    </row>
    <row r="989" spans="2:2" ht="15.75" customHeight="1" x14ac:dyDescent="0.25">
      <c r="B989" s="7"/>
    </row>
    <row r="990" spans="2:2" ht="15.75" customHeight="1" x14ac:dyDescent="0.25">
      <c r="B990" s="7"/>
    </row>
    <row r="991" spans="2:2" ht="15.75" customHeight="1" x14ac:dyDescent="0.25">
      <c r="B991" s="7"/>
    </row>
    <row r="992" spans="2:2" ht="15.75" customHeight="1" x14ac:dyDescent="0.25">
      <c r="B992" s="7"/>
    </row>
    <row r="993" spans="2:2" ht="15.75" customHeight="1" x14ac:dyDescent="0.25">
      <c r="B993" s="7"/>
    </row>
    <row r="994" spans="2:2" ht="15.75" customHeight="1" x14ac:dyDescent="0.25">
      <c r="B994" s="7"/>
    </row>
    <row r="995" spans="2:2" ht="15.75" customHeight="1" x14ac:dyDescent="0.25">
      <c r="B995" s="7"/>
    </row>
    <row r="996" spans="2:2" ht="15.75" customHeight="1" x14ac:dyDescent="0.25">
      <c r="B996" s="7"/>
    </row>
    <row r="997" spans="2:2" ht="15.75" customHeight="1" x14ac:dyDescent="0.25">
      <c r="B997" s="7"/>
    </row>
    <row r="998" spans="2:2" ht="15.75" customHeight="1" x14ac:dyDescent="0.25">
      <c r="B998" s="7"/>
    </row>
    <row r="999" spans="2:2" ht="15.75" customHeight="1" x14ac:dyDescent="0.25">
      <c r="B999" s="7"/>
    </row>
    <row r="1000" spans="2:2" ht="15.75" customHeight="1" x14ac:dyDescent="0.25">
      <c r="B1000" s="7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  <outlinePr summaryBelow="0"/>
  </sheetPr>
  <dimension ref="B1:H1000"/>
  <sheetViews>
    <sheetView showGridLines="0" zoomScaleNormal="100" workbookViewId="0">
      <selection activeCell="B21" sqref="B21:H21"/>
    </sheetView>
  </sheetViews>
  <sheetFormatPr defaultColWidth="12.6328125" defaultRowHeight="15" customHeight="1" x14ac:dyDescent="0.25"/>
  <cols>
    <col min="1" max="1" width="2.6328125" customWidth="1"/>
    <col min="2" max="2" width="30.90625" bestFit="1" customWidth="1"/>
    <col min="3" max="3" width="18" customWidth="1"/>
    <col min="4" max="4" width="14.54296875" customWidth="1"/>
    <col min="5" max="5" width="16.7265625" customWidth="1"/>
    <col min="6" max="8" width="14.54296875" customWidth="1"/>
    <col min="9" max="26" width="12.453125" customWidth="1"/>
  </cols>
  <sheetData>
    <row r="1" spans="2:8" ht="15.75" customHeight="1" x14ac:dyDescent="0.25"/>
    <row r="2" spans="2:8" ht="26" customHeight="1" x14ac:dyDescent="0.25">
      <c r="B2" s="82" t="s">
        <v>87</v>
      </c>
      <c r="C2" s="82"/>
      <c r="D2" s="82"/>
      <c r="E2" s="82"/>
      <c r="F2" s="82"/>
      <c r="G2" s="82"/>
      <c r="H2" s="82"/>
    </row>
    <row r="3" spans="2:8" ht="15.75" customHeight="1" x14ac:dyDescent="0.3">
      <c r="B3" s="87" t="s">
        <v>88</v>
      </c>
      <c r="C3" s="29" t="s">
        <v>89</v>
      </c>
      <c r="D3" s="29" t="s">
        <v>90</v>
      </c>
      <c r="E3" s="29" t="s">
        <v>91</v>
      </c>
      <c r="F3" s="29" t="s">
        <v>92</v>
      </c>
      <c r="G3" s="29" t="s">
        <v>93</v>
      </c>
      <c r="H3" s="29" t="s">
        <v>94</v>
      </c>
    </row>
    <row r="4" spans="2:8" ht="15.75" customHeight="1" x14ac:dyDescent="0.35">
      <c r="B4" s="30" t="s">
        <v>95</v>
      </c>
      <c r="C4" s="31">
        <f>SUMIFS(DataBase!$I$2:$I$1186,DataBase!$B$2:$B$1186,"&gt;="&amp;DATE(2024,7,1),DataBase!$B$2:$B$1186,"&lt;"&amp;DATE(2024,10,1))</f>
        <v>9032131</v>
      </c>
      <c r="D4" s="31">
        <f>SUMIFS(DataBase!$I$2:$I$1186,DataBase!$B$2:$B$1186,"&gt;="&amp;DATE(2024,10,1),DataBase!$B$2:$B$1186,"&lt;"&amp;DATE(2025,1,1))</f>
        <v>12522505</v>
      </c>
      <c r="E4" s="31">
        <f>SUMIFS(DataBase!$I$2:$I$1186,DataBase!$B$2:$B$1186,"&gt;="&amp;DATE(2025,1,1),DataBase!$B$2:$B$1186,"&lt;"&amp;DATE(2025,4,1))</f>
        <v>17756129</v>
      </c>
      <c r="F4" s="31">
        <f>SUMIFS(DataBase!$I$2:$I$1186,DataBase!$B$2:$B$1186,"&gt;="&amp;DATE(2025,4,1),DataBase!$B$2:$B$1186,"&lt;"&amp;DATE(2025,7,1))</f>
        <v>29501438</v>
      </c>
      <c r="G4" s="31">
        <f>SUMIFS(DataBase!$I$2:$I$1186,DataBase!$B$2:$B$1186,"&gt;="&amp;DATE(2025,7,1),DataBase!$B$2:$B$1186,"&lt;"&amp;DATE(2025,10,1))</f>
        <v>55655676</v>
      </c>
      <c r="H4" s="31">
        <f>SUMIFS(DataBase!$I$2:$I$1186,DataBase!$B$2:$B$1186,"&gt;="&amp;DATE(2025,10,1),DataBase!$B$2:$B$1186,"&lt;"&amp;DATE(2026,1,1))</f>
        <v>62921120</v>
      </c>
    </row>
    <row r="5" spans="2:8" ht="5.25" customHeight="1" x14ac:dyDescent="0.25"/>
    <row r="6" spans="2:8" ht="15.75" customHeight="1" x14ac:dyDescent="0.3">
      <c r="B6" s="32" t="s">
        <v>96</v>
      </c>
      <c r="C6" s="33"/>
      <c r="D6" s="33"/>
      <c r="E6" s="33"/>
      <c r="F6" s="33"/>
      <c r="G6" s="33"/>
      <c r="H6" s="33"/>
    </row>
    <row r="7" spans="2:8" ht="15.75" customHeight="1" x14ac:dyDescent="0.35">
      <c r="B7" s="36" t="s">
        <v>97</v>
      </c>
      <c r="C7" s="37">
        <f>SUMIFS(DataBase!$I$2:$I$1186,DataBase!$B$2:$B$1186,"&gt;="&amp;DATE(2024,7,1),DataBase!$B$2:$B$1186,"&lt;"&amp;DATE(2024,10,1),DataBase!$O$2:$O$1186,"house")</f>
        <v>3280131</v>
      </c>
      <c r="D7" s="38">
        <f>SUMIFS(DataBase!$I$2:$I$1186,DataBase!$B$2:$B$1186,"&gt;="&amp;DATE(2024,10,1),DataBase!$B$2:$B$1186,"&lt;"&amp;DATE(2025,1,1),DataBase!$O$2:$O$1186,"house")</f>
        <v>5427000</v>
      </c>
      <c r="E7" s="38">
        <f>SUMIFS(DataBase!$I$2:$I$1186,DataBase!$B$2:$B$1186,"&gt;="&amp;DATE(2025,1,1),DataBase!$B$2:$B$1186,"&lt;"&amp;DATE(2025,4,1),DataBase!$O$2:$O$1186,"house")</f>
        <v>7275503</v>
      </c>
      <c r="F7" s="38">
        <f>SUMIFS(DataBase!$I$2:$I$1186,DataBase!$B$2:$B$1186,"&gt;="&amp;DATE(2025,4,1),DataBase!$B$2:$B$1186,"&lt;"&amp;DATE(2025,7,1),DataBase!$O$2:$O$1186,"house")</f>
        <v>10703166</v>
      </c>
      <c r="G7" s="38">
        <f>SUMIFS(DataBase!$I$2:$I$1186,DataBase!$B$2:$B$1186,"&gt;="&amp;DATE(2025,7,1),DataBase!$B$2:$B$1186,"&lt;"&amp;DATE(2025,10,1),DataBase!$O$2:$O$1186,"house")</f>
        <v>19581000</v>
      </c>
      <c r="H7" s="39">
        <f>SUMIFS(DataBase!$I$2:$I$1186,DataBase!$B$2:$B$1186,"&gt;="&amp;DATE(2025,10,1),DataBase!$B$2:$B$1186,"&lt;"&amp;DATE(2026,1,1),DataBase!$O$2:$O$1186,"house")</f>
        <v>24859375</v>
      </c>
    </row>
    <row r="8" spans="2:8" ht="15.75" customHeight="1" x14ac:dyDescent="0.3">
      <c r="B8" s="40" t="s">
        <v>98</v>
      </c>
      <c r="C8" s="41">
        <f t="shared" ref="C8:H8" si="0">IFERROR(C7/C4,0)</f>
        <v>0.36316246963202814</v>
      </c>
      <c r="D8" s="42">
        <f t="shared" si="0"/>
        <v>0.43337974311050387</v>
      </c>
      <c r="E8" s="42">
        <f t="shared" si="0"/>
        <v>0.4097460093920246</v>
      </c>
      <c r="F8" s="42">
        <f t="shared" si="0"/>
        <v>0.36280150140477896</v>
      </c>
      <c r="G8" s="42">
        <f t="shared" si="0"/>
        <v>0.35182395412823664</v>
      </c>
      <c r="H8" s="43">
        <f t="shared" si="0"/>
        <v>0.39508792914048574</v>
      </c>
    </row>
    <row r="9" spans="2:8" ht="15.75" customHeight="1" x14ac:dyDescent="0.35">
      <c r="B9" s="44" t="s">
        <v>99</v>
      </c>
      <c r="C9" s="45">
        <f>SUMIFS(DataBase!$I$2:$I$1186,DataBase!$B$2:$B$1186,"&gt;="&amp;DATE(2024,7,1),DataBase!$B$2:$B$1186,"&lt;"&amp;DATE(2024,10,1),DataBase!$O$2:$O$1186,"apartment")</f>
        <v>4492000</v>
      </c>
      <c r="D9" s="46">
        <f>SUMIFS(DataBase!$I$2:$I$1186,DataBase!$B$2:$B$1186,"&gt;="&amp;DATE(2024,10,1),DataBase!$B$2:$B$1186,"&lt;"&amp;DATE(2025,1,1),DataBase!$O$2:$O$1186,"apartment")</f>
        <v>6025505</v>
      </c>
      <c r="E9" s="46">
        <f>SUMIFS(DataBase!$I$2:$I$1186,DataBase!$B$2:$B$1186,"&gt;="&amp;DATE(2025,1,1),DataBase!$B$2:$B$1186,"&lt;"&amp;DATE(2025,4,1),DataBase!$O$2:$O$1186,"apartment")</f>
        <v>8100626</v>
      </c>
      <c r="F9" s="46">
        <f>SUMIFS(DataBase!$I$2:$I$1186,DataBase!$B$2:$B$1186,"&gt;="&amp;DATE(2025,4,1),DataBase!$B$2:$B$1186,"&lt;"&amp;DATE(2025,7,1),DataBase!$O$2:$O$1186,"apartment")</f>
        <v>15768272</v>
      </c>
      <c r="G9" s="46">
        <f>SUMIFS(DataBase!$I$2:$I$1186,DataBase!$B$2:$B$1186,"&gt;="&amp;DATE(2025,7,1),DataBase!$B$2:$B$1186,"&lt;"&amp;DATE(2025,10,1),DataBase!$O$2:$O$1186,"apartment")</f>
        <v>32450676</v>
      </c>
      <c r="H9" s="47">
        <f>SUMIFS(DataBase!$I$2:$I$1186,DataBase!$B$2:$B$1186,"&gt;="&amp;DATE(2025,10,1),DataBase!$B$2:$B$1186,"&lt;"&amp;DATE(2026,1,1),DataBase!$O$2:$O$1186,"apartment")</f>
        <v>34046698</v>
      </c>
    </row>
    <row r="10" spans="2:8" ht="15.75" customHeight="1" x14ac:dyDescent="0.3">
      <c r="B10" s="48" t="s">
        <v>98</v>
      </c>
      <c r="C10" s="49">
        <f t="shared" ref="C10:H10" si="1">IFERROR(C9/C4,0)</f>
        <v>0.49733556787429234</v>
      </c>
      <c r="D10" s="50">
        <f t="shared" si="1"/>
        <v>0.48117409416087276</v>
      </c>
      <c r="E10" s="50">
        <f t="shared" si="1"/>
        <v>0.45621576639818284</v>
      </c>
      <c r="F10" s="50">
        <f t="shared" si="1"/>
        <v>0.53449164071256461</v>
      </c>
      <c r="G10" s="50">
        <f t="shared" si="1"/>
        <v>0.58306139341475249</v>
      </c>
      <c r="H10" s="51">
        <f t="shared" si="1"/>
        <v>0.54110127092461169</v>
      </c>
    </row>
    <row r="11" spans="2:8" ht="15.75" customHeight="1" x14ac:dyDescent="0.35">
      <c r="B11" s="36" t="s">
        <v>100</v>
      </c>
      <c r="C11" s="37">
        <f>SUMIFS(DataBase!$I$2:$I$1186,DataBase!$B$2:$B$1186,"&gt;="&amp;DATE(2024,7,1),DataBase!$B$2:$B$1186,"&lt;"&amp;DATE(2024,10,1),DataBase!$O$2:$O$1186,"other")</f>
        <v>990000</v>
      </c>
      <c r="D11" s="38">
        <f>SUMIFS(DataBase!$I$2:$I$1186,DataBase!$B$2:$B$1186,"&gt;="&amp;DATE(2024,10,1),DataBase!$B$2:$B$1186,"&lt;"&amp;DATE(2025,1,1),DataBase!$O$2:$O$1186,"other")</f>
        <v>750000</v>
      </c>
      <c r="E11" s="38">
        <f>SUMIFS(DataBase!$I$2:$I$1186,DataBase!$B$2:$B$1186,"&gt;="&amp;DATE(2025,1,1),DataBase!$B$2:$B$1186,"&lt;"&amp;DATE(2025,4,1),DataBase!$O$2:$O$1186,"other")</f>
        <v>1780000</v>
      </c>
      <c r="F11" s="38">
        <f>SUMIFS(DataBase!$I$2:$I$1186,DataBase!$B$2:$B$1186,"&gt;="&amp;DATE(2025,4,1),DataBase!$B$2:$B$1186,"&lt;"&amp;DATE(2025,7,1),DataBase!$O$2:$O$1186,"other")</f>
        <v>2500000</v>
      </c>
      <c r="G11" s="38">
        <f>SUMIFS(DataBase!$I$2:$I$1186,DataBase!$B$2:$B$1186,"&gt;="&amp;DATE(2025,7,1),DataBase!$B$2:$B$1186,"&lt;"&amp;DATE(2025,10,1),DataBase!$O$2:$O$1186,"other")</f>
        <v>3574000</v>
      </c>
      <c r="H11" s="39">
        <f>SUMIFS(DataBase!$I$2:$I$1186,DataBase!$B$2:$B$1186,"&gt;="&amp;DATE(2025,10,1),DataBase!$B$2:$B$1186,"&lt;"&amp;DATE(2026,1,1),DataBase!$O$2:$O$1186,"other")</f>
        <v>4015047</v>
      </c>
    </row>
    <row r="12" spans="2:8" ht="15.75" customHeight="1" x14ac:dyDescent="0.3">
      <c r="B12" s="40" t="s">
        <v>98</v>
      </c>
      <c r="C12" s="41">
        <f t="shared" ref="C12:H12" si="2">IFERROR(C11/C4,0)</f>
        <v>0.10960868481646246</v>
      </c>
      <c r="D12" s="42">
        <f t="shared" si="2"/>
        <v>5.9892170136885553E-2</v>
      </c>
      <c r="E12" s="42">
        <f t="shared" si="2"/>
        <v>0.10024707524934066</v>
      </c>
      <c r="F12" s="42">
        <f t="shared" si="2"/>
        <v>8.4741631916383189E-2</v>
      </c>
      <c r="G12" s="42">
        <f t="shared" si="2"/>
        <v>6.421627149044061E-2</v>
      </c>
      <c r="H12" s="43">
        <f t="shared" si="2"/>
        <v>6.3810799934902615E-2</v>
      </c>
    </row>
    <row r="13" spans="2:8" ht="15.75" customHeight="1" x14ac:dyDescent="0.35">
      <c r="B13" s="44" t="s">
        <v>101</v>
      </c>
      <c r="C13" s="45">
        <f>SUMIFS(DataBase!$I$2:$I$1186,DataBase!$B$2:$B$1186,"&gt;="&amp;DATE(2024,7,1),DataBase!$B$2:$B$1186,"&lt;"&amp;DATE(2024,10,1),DataBase!$O$2:$O$1186,"NULL")</f>
        <v>270000</v>
      </c>
      <c r="D13" s="46">
        <f>SUMIFS(DataBase!$I$2:$I$1186,DataBase!$B$2:$B$1186,"&gt;="&amp;DATE(2024,10,1),DataBase!$B$2:$B$1186,"&lt;"&amp;DATE(2025,1,1),DataBase!$O$2:$O$1186,"NULL")</f>
        <v>320000</v>
      </c>
      <c r="E13" s="46">
        <f>SUMIFS(DataBase!$I$2:$I$1186,DataBase!$B$2:$B$1186,"&gt;="&amp;DATE(2025,1,1),DataBase!$B$2:$B$1186,"&lt;"&amp;DATE(2025,4,1),DataBase!$O$2:$O$1186,"NULL")</f>
        <v>600000</v>
      </c>
      <c r="F13" s="46">
        <f>SUMIFS(DataBase!$I$2:$I$1186,DataBase!$B$2:$B$1186,"&gt;="&amp;DATE(2025,4,1),DataBase!$B$2:$B$1186,"&lt;"&amp;DATE(2025,7,1),DataBase!$O$2:$O$1186,"NULL")</f>
        <v>530000</v>
      </c>
      <c r="G13" s="46">
        <f>SUMIFS(DataBase!$I$2:$I$1186,DataBase!$B$2:$B$1186,"&gt;="&amp;DATE(2025,7,1),DataBase!$B$2:$B$1186,"&lt;"&amp;DATE(2025,10,1),DataBase!$O$2:$O$1186,"NULL")</f>
        <v>50000</v>
      </c>
      <c r="H13" s="47">
        <f>SUMIFS(DataBase!$I$2:$I$1186,DataBase!$B$2:$B$1186,"&gt;="&amp;DATE(2025,10,1),DataBase!$B$2:$B$1186,"&lt;"&amp;DATE(2026,1,1),DataBase!$O$2:$O$1186,"NULL")</f>
        <v>0</v>
      </c>
    </row>
    <row r="14" spans="2:8" ht="15.75" customHeight="1" x14ac:dyDescent="0.3">
      <c r="B14" s="48" t="s">
        <v>98</v>
      </c>
      <c r="C14" s="49">
        <f t="shared" ref="C14:H14" si="3">IFERROR(C13/C4,0)</f>
        <v>2.9893277677217039E-2</v>
      </c>
      <c r="D14" s="50">
        <f t="shared" si="3"/>
        <v>2.5553992591737837E-2</v>
      </c>
      <c r="E14" s="50">
        <f t="shared" si="3"/>
        <v>3.3791148960451912E-2</v>
      </c>
      <c r="F14" s="50">
        <f t="shared" si="3"/>
        <v>1.7965225966273236E-2</v>
      </c>
      <c r="G14" s="50">
        <f t="shared" si="3"/>
        <v>8.9838096657023807E-4</v>
      </c>
      <c r="H14" s="51">
        <f t="shared" si="3"/>
        <v>0</v>
      </c>
    </row>
    <row r="15" spans="2:8" ht="7.5" customHeight="1" x14ac:dyDescent="0.25"/>
    <row r="16" spans="2:8" ht="15.75" customHeight="1" x14ac:dyDescent="0.35">
      <c r="B16" s="34" t="s">
        <v>102</v>
      </c>
      <c r="C16" s="31">
        <f>SUMIFS(DataBase!$I$2:$I$1186,DataBase!$B$2:$B$1186,"&gt;="&amp;DATE(2024,7,1),DataBase!$B$2:$B$1186,"&lt;"&amp;DATE(2024,10,1),DataBase!$P$2:$P$1186,1)</f>
        <v>5715131</v>
      </c>
      <c r="D16" s="35">
        <f>SUMIFS(DataBase!$I$2:$I$1186,DataBase!$B$2:$B$1186,"&gt;="&amp;DATE(2024,10,1),DataBase!$B$2:$B$1186,"&lt;"&amp;DATE(2025,1,1),DataBase!$P$2:$P$1186,1)</f>
        <v>5773000</v>
      </c>
      <c r="E16" s="31">
        <f>SUMIFS(DataBase!$I$2:$I$1186,DataBase!$B$2:$B$1186,"&gt;="&amp;DATE(2025,1,1),DataBase!$B$2:$B$1186,"&lt;"&amp;DATE(2025,4,1),DataBase!$P$2:$P$1186,1)</f>
        <v>8399000</v>
      </c>
      <c r="F16" s="35">
        <f>SUMIFS(DataBase!$I$2:$I$1186,DataBase!$B$2:$B$1186,"&gt;="&amp;DATE(2025,4,1),DataBase!$B$2:$B$1186,"&lt;"&amp;DATE(2025,7,1),DataBase!$P$2:$P$1186,1)</f>
        <v>12174000</v>
      </c>
      <c r="G16" s="35">
        <f>SUMIFS(DataBase!$I$2:$I$1186,DataBase!$B$2:$B$1186,"&gt;="&amp;DATE(2025,7,1),DataBase!$B$2:$B$1186,"&lt;"&amp;DATE(2025,10,1),DataBase!$P$2:$P$1186,1)</f>
        <v>11259000</v>
      </c>
      <c r="H16" s="31">
        <f>SUMIFS(DataBase!$I$2:$I$1186,DataBase!$B$2:$B$1186,"&gt;="&amp;DATE(2025,10,1),DataBase!$B$2:$B$1186,"&lt;"&amp;DATE(2026,1,1),DataBase!$P$2:$P$1186,1)</f>
        <v>13487201</v>
      </c>
    </row>
    <row r="17" spans="2:8" ht="15.75" customHeight="1" x14ac:dyDescent="0.35">
      <c r="B17" s="85" t="s">
        <v>103</v>
      </c>
      <c r="C17" s="84">
        <f t="shared" ref="C17:H17" si="4">IFERROR(C16/C4,0)</f>
        <v>0.63275554794322619</v>
      </c>
      <c r="D17" s="55">
        <f t="shared" si="4"/>
        <v>0.46100999760032041</v>
      </c>
      <c r="E17" s="84">
        <f t="shared" si="4"/>
        <v>0.47301976686472597</v>
      </c>
      <c r="F17" s="55">
        <f t="shared" si="4"/>
        <v>0.4126578507800196</v>
      </c>
      <c r="G17" s="55">
        <f t="shared" si="4"/>
        <v>0.20229742605228621</v>
      </c>
      <c r="H17" s="84">
        <f t="shared" si="4"/>
        <v>0.214350936537684</v>
      </c>
    </row>
    <row r="18" spans="2:8" ht="16" customHeight="1" x14ac:dyDescent="0.25">
      <c r="B18" s="86" t="s">
        <v>224</v>
      </c>
      <c r="C18" s="89" t="s">
        <v>228</v>
      </c>
      <c r="D18" s="90" t="s">
        <v>222</v>
      </c>
      <c r="E18" s="88" t="s">
        <v>229</v>
      </c>
      <c r="F18" s="53"/>
      <c r="G18" s="53"/>
      <c r="H18" s="53"/>
    </row>
    <row r="19" spans="2:8" ht="15.75" customHeight="1" x14ac:dyDescent="0.25"/>
    <row r="20" spans="2:8" ht="15.75" customHeight="1" x14ac:dyDescent="0.25">
      <c r="B20" s="83" t="s">
        <v>104</v>
      </c>
      <c r="C20" s="83"/>
      <c r="D20" s="83"/>
      <c r="E20" s="83"/>
      <c r="F20" s="83"/>
      <c r="G20" s="83"/>
      <c r="H20" s="83"/>
    </row>
    <row r="21" spans="2:8" ht="121" customHeight="1" x14ac:dyDescent="0.25">
      <c r="B21" s="130" t="s">
        <v>105</v>
      </c>
      <c r="C21" s="131"/>
      <c r="D21" s="131"/>
      <c r="E21" s="131"/>
      <c r="F21" s="131"/>
      <c r="G21" s="131"/>
      <c r="H21" s="131"/>
    </row>
    <row r="22" spans="2:8" ht="15.75" customHeight="1" x14ac:dyDescent="0.25"/>
    <row r="23" spans="2:8" ht="15.75" customHeight="1" x14ac:dyDescent="0.25"/>
    <row r="24" spans="2:8" ht="15.75" customHeight="1" x14ac:dyDescent="0.25"/>
    <row r="25" spans="2:8" ht="15.75" customHeight="1" x14ac:dyDescent="0.25"/>
    <row r="26" spans="2:8" ht="15.75" customHeight="1" x14ac:dyDescent="0.25"/>
    <row r="27" spans="2:8" ht="15.75" customHeight="1" x14ac:dyDescent="0.25"/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21:H21"/>
    <mergeCell ref="B20:H20"/>
    <mergeCell ref="B2:H2"/>
  </mergeCells>
  <conditionalFormatting sqref="C17:H17">
    <cfRule type="colorScale" priority="1">
      <colorScale>
        <cfvo type="min"/>
        <cfvo type="max"/>
        <color rgb="FFF4A9A9"/>
        <color rgb="FF9BC2E6"/>
      </colorScale>
    </cfRule>
  </conditionalFormatting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499984740745262"/>
  </sheetPr>
  <dimension ref="B1:J13"/>
  <sheetViews>
    <sheetView zoomScaleNormal="100" workbookViewId="0">
      <selection activeCell="B13" sqref="B13:G13"/>
    </sheetView>
  </sheetViews>
  <sheetFormatPr defaultColWidth="8.6328125" defaultRowHeight="12.5" x14ac:dyDescent="0.25"/>
  <cols>
    <col min="1" max="1" width="2.6328125" customWidth="1"/>
    <col min="2" max="2" width="30.26953125" customWidth="1"/>
    <col min="3" max="3" width="24.1796875" customWidth="1"/>
    <col min="4" max="4" width="23.08984375" customWidth="1"/>
    <col min="5" max="5" width="24.36328125" bestFit="1" customWidth="1"/>
    <col min="6" max="6" width="28.08984375" bestFit="1" customWidth="1"/>
    <col min="7" max="7" width="43.54296875" bestFit="1" customWidth="1"/>
  </cols>
  <sheetData>
    <row r="1" spans="2:10" ht="26" customHeight="1" x14ac:dyDescent="0.25">
      <c r="B1" s="82" t="s">
        <v>223</v>
      </c>
      <c r="C1" s="82"/>
      <c r="D1" s="82"/>
      <c r="E1" s="82"/>
      <c r="F1" s="82"/>
      <c r="G1" s="82"/>
    </row>
    <row r="2" spans="2:10" ht="15" customHeight="1" x14ac:dyDescent="0.35">
      <c r="B2" s="111" t="s">
        <v>146</v>
      </c>
      <c r="C2" s="111" t="s">
        <v>147</v>
      </c>
      <c r="D2" s="111" t="s">
        <v>148</v>
      </c>
      <c r="E2" s="111" t="s">
        <v>149</v>
      </c>
      <c r="F2" s="111" t="s">
        <v>150</v>
      </c>
      <c r="G2" s="111" t="s">
        <v>151</v>
      </c>
    </row>
    <row r="3" spans="2:10" ht="15" customHeight="1" x14ac:dyDescent="0.3">
      <c r="B3" s="59" t="s">
        <v>39</v>
      </c>
      <c r="C3" s="60">
        <f>COUNTIFS(DataBase!$M$2:$M$1186,"organic")</f>
        <v>760</v>
      </c>
      <c r="D3" s="61">
        <f>SUMIFS(DataBase!$I$2:$I$1186,DataBase!$M$2:$M$1186,"organic")</f>
        <v>126093825</v>
      </c>
      <c r="E3" s="62">
        <f t="shared" ref="E3:E8" si="0">D3/SUM($D$3:$D$8)</f>
        <v>0.63177886893207746</v>
      </c>
      <c r="F3" s="63">
        <f>COUNTIFS(DataBase!$M$2:$M$1186,"organic",DataBase!$P$2:$P$1186,1)/C3</f>
        <v>0.30921052631578949</v>
      </c>
      <c r="G3" s="63">
        <f>SUMIFS(DataBase!$I$2:$I$1186,DataBase!$M$2:$M$1186,"organic",DataBase!$P$2:$P$1186,1)/D3</f>
        <v>0.28113610638744602</v>
      </c>
    </row>
    <row r="4" spans="2:10" ht="15" customHeight="1" x14ac:dyDescent="0.3">
      <c r="B4" s="64" t="s">
        <v>35</v>
      </c>
      <c r="C4" s="65">
        <f>COUNTIFS(DataBase!$M$2:$M$1186,"offline")</f>
        <v>140</v>
      </c>
      <c r="D4" s="66">
        <f>SUMIFS(DataBase!$I$2:$I$1186,DataBase!$M$2:$M$1186,"offline")</f>
        <v>34679289</v>
      </c>
      <c r="E4" s="67">
        <f t="shared" si="0"/>
        <v>0.17375666080229255</v>
      </c>
      <c r="F4" s="68">
        <f>COUNTIFS(DataBase!$M$2:$M$1186,"offline",DataBase!$P$2:$P$1186,1)/C4</f>
        <v>0.27857142857142858</v>
      </c>
      <c r="G4" s="68">
        <f>SUMIFS(DataBase!$I$2:$I$1186,DataBase!$M$2:$M$1186,"offline",DataBase!$P$2:$P$1186,1)/D4</f>
        <v>0.26975754895090265</v>
      </c>
    </row>
    <row r="5" spans="2:10" ht="15" customHeight="1" x14ac:dyDescent="0.3">
      <c r="B5" s="59" t="s">
        <v>54</v>
      </c>
      <c r="C5" s="60">
        <f>COUNTIFS(DataBase!$M$2:$M$1186,"social_media")</f>
        <v>137</v>
      </c>
      <c r="D5" s="61">
        <f>SUMIFS(DataBase!$I$2:$I$1186,DataBase!$M$2:$M$1186,"social_media")</f>
        <v>17625014</v>
      </c>
      <c r="E5" s="62">
        <f t="shared" si="0"/>
        <v>8.830814205082628E-2</v>
      </c>
      <c r="F5" s="69">
        <f>COUNTIFS(DataBase!$M$2:$M$1186,"social_media",DataBase!$P$2:$P$1186,1)/C5</f>
        <v>0.29927007299270075</v>
      </c>
      <c r="G5" s="69">
        <f>SUMIFS(DataBase!$I$2:$I$1186,DataBase!$M$2:$M$1186,"social_media",DataBase!$P$2:$P$1186,1)/D5</f>
        <v>0.39220814235948975</v>
      </c>
    </row>
    <row r="6" spans="2:10" ht="15" customHeight="1" x14ac:dyDescent="0.3">
      <c r="B6" s="64" t="s">
        <v>48</v>
      </c>
      <c r="C6" s="65">
        <f>COUNTIFS(DataBase!$M$2:$M$1186,"other")</f>
        <v>69</v>
      </c>
      <c r="D6" s="66">
        <f>SUMIFS(DataBase!$I$2:$I$1186,DataBase!$M$2:$M$1186,"other")</f>
        <v>10822251</v>
      </c>
      <c r="E6" s="67">
        <f t="shared" si="0"/>
        <v>5.4223666353836471E-2</v>
      </c>
      <c r="F6" s="70">
        <f>COUNTIFS(DataBase!$M$2:$M$1186,"other",DataBase!$P$2:$P$1186,1)/C6</f>
        <v>0.40579710144927539</v>
      </c>
      <c r="G6" s="70">
        <f>SUMIFS(DataBase!$I$2:$I$1186,DataBase!$M$2:$M$1186,"other",DataBase!$P$2:$P$1186,1)/D6</f>
        <v>0.45786509664209413</v>
      </c>
    </row>
    <row r="7" spans="2:10" ht="15" customHeight="1" x14ac:dyDescent="0.3">
      <c r="B7" s="59" t="s">
        <v>72</v>
      </c>
      <c r="C7" s="60">
        <f>COUNTIFS(DataBase!$M$2:$M$1186,"affiliates")</f>
        <v>51</v>
      </c>
      <c r="D7" s="61">
        <f>SUMIFS(DataBase!$I$2:$I$1186,DataBase!$M$2:$M$1186,"affiliates")</f>
        <v>6945000</v>
      </c>
      <c r="E7" s="62">
        <f t="shared" si="0"/>
        <v>3.4797138121024383E-2</v>
      </c>
      <c r="F7" s="71">
        <f>COUNTIFS(DataBase!$M$2:$M$1186,"affiliates",DataBase!$P$2:$P$1186,1)/C7</f>
        <v>0.33333333333333331</v>
      </c>
      <c r="G7" s="71">
        <f>SUMIFS(DataBase!$I$2:$I$1186,DataBase!$M$2:$M$1186,"affiliates",DataBase!$P$2:$P$1186,1)/D7</f>
        <v>0.26205903527717783</v>
      </c>
    </row>
    <row r="8" spans="2:10" ht="15" customHeight="1" x14ac:dyDescent="0.3">
      <c r="B8" s="64" t="s">
        <v>67</v>
      </c>
      <c r="C8" s="65">
        <f>COUNTIFS(DataBase!$M$2:$M$1186,"remarketing")</f>
        <v>26</v>
      </c>
      <c r="D8" s="66">
        <f>SUMIFS(DataBase!$I$2:$I$1186,DataBase!$M$2:$M$1186,"remarketing")</f>
        <v>3420000</v>
      </c>
      <c r="E8" s="67">
        <f t="shared" si="0"/>
        <v>1.7135523739942895E-2</v>
      </c>
      <c r="F8" s="72">
        <f>COUNTIFS(DataBase!$M$2:$M$1186,"remarketing",DataBase!$P$2:$P$1186,1)/C8</f>
        <v>0.26923076923076922</v>
      </c>
      <c r="G8" s="72">
        <f>SUMIFS(DataBase!$I$2:$I$1186,DataBase!$M$2:$M$1186,"remarketing",DataBase!$P$2:$P$1186,1)/D8</f>
        <v>0.24707602339181287</v>
      </c>
    </row>
    <row r="9" spans="2:10" ht="15" customHeight="1" x14ac:dyDescent="0.3">
      <c r="B9" s="73" t="s">
        <v>152</v>
      </c>
      <c r="C9" s="73">
        <f>COUNTBLANK(DataBase!$M$2:$M$1186)</f>
        <v>2</v>
      </c>
      <c r="D9" s="74">
        <f>SUMIFS(DataBase!$I$2:$I$1186,DataBase!$M$2:$M$1186,"")</f>
        <v>0</v>
      </c>
      <c r="E9" s="75">
        <f>IFERROR(D9/SUM($D$3:$D$8),0)</f>
        <v>0</v>
      </c>
      <c r="F9" s="77">
        <f>IFERROR(COUNTIFS(DataBase!$M$2:$M$1186,"",DataBase!$P$2:$P$1186,1)/C9,0)</f>
        <v>0</v>
      </c>
      <c r="G9" s="78">
        <f>IFERROR(SUMIFS(DataBase!$I$2:$I$1186,DataBase!$M$2:$M$1186,"",DataBase!$P$2:$P$1186,1)/D9,0)</f>
        <v>0</v>
      </c>
    </row>
    <row r="10" spans="2:10" ht="16" customHeight="1" x14ac:dyDescent="0.3">
      <c r="B10" s="52" t="s">
        <v>225</v>
      </c>
      <c r="C10" s="56" t="s">
        <v>226</v>
      </c>
      <c r="D10" s="58" t="s">
        <v>222</v>
      </c>
      <c r="E10" s="57" t="s">
        <v>234</v>
      </c>
      <c r="F10" s="58" t="s">
        <v>222</v>
      </c>
      <c r="G10" s="76" t="s">
        <v>227</v>
      </c>
      <c r="H10" s="54"/>
      <c r="I10" s="79"/>
      <c r="J10" s="80"/>
    </row>
    <row r="11" spans="2:10" ht="16" customHeight="1" x14ac:dyDescent="0.25"/>
    <row r="12" spans="2:10" ht="15" customHeight="1" x14ac:dyDescent="0.25">
      <c r="B12" s="103" t="s">
        <v>153</v>
      </c>
      <c r="C12" s="103"/>
      <c r="D12" s="103"/>
      <c r="E12" s="103"/>
      <c r="F12" s="103"/>
      <c r="G12" s="103"/>
    </row>
    <row r="13" spans="2:10" ht="160" customHeight="1" x14ac:dyDescent="0.25">
      <c r="B13" s="128" t="s">
        <v>154</v>
      </c>
      <c r="C13" s="129"/>
      <c r="D13" s="129"/>
      <c r="E13" s="129"/>
      <c r="F13" s="129"/>
      <c r="G13" s="129"/>
    </row>
  </sheetData>
  <mergeCells count="3">
    <mergeCell ref="B13:G13"/>
    <mergeCell ref="B12:G12"/>
    <mergeCell ref="B1:G1"/>
  </mergeCells>
  <conditionalFormatting sqref="F3:F8">
    <cfRule type="colorScale" priority="1">
      <colorScale>
        <cfvo type="min"/>
        <cfvo type="max"/>
        <color rgb="FFF4A9A9"/>
        <color rgb="FF9BC2E6"/>
      </colorScale>
    </cfRule>
  </conditionalFormatting>
  <conditionalFormatting sqref="G3:G8">
    <cfRule type="colorScale" priority="2">
      <colorScale>
        <cfvo type="min"/>
        <cfvo type="max"/>
        <color rgb="FFF4A9A9"/>
        <color rgb="FF9BC2E6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  <outlinePr summaryBelow="0"/>
  </sheetPr>
  <dimension ref="B1:H1002"/>
  <sheetViews>
    <sheetView showGridLines="0" zoomScaleNormal="100" workbookViewId="0">
      <selection activeCell="B14" sqref="B14:H14"/>
    </sheetView>
  </sheetViews>
  <sheetFormatPr defaultColWidth="12.6328125" defaultRowHeight="15" customHeight="1" x14ac:dyDescent="0.25"/>
  <cols>
    <col min="1" max="1" width="3.90625" customWidth="1"/>
    <col min="2" max="2" width="47.6328125" customWidth="1"/>
    <col min="3" max="3" width="3.453125" customWidth="1"/>
    <col min="4" max="4" width="40.7265625" customWidth="1"/>
    <col min="5" max="5" width="3.90625" customWidth="1"/>
    <col min="6" max="6" width="36.26953125" customWidth="1"/>
    <col min="7" max="7" width="5.08984375" customWidth="1"/>
    <col min="8" max="8" width="34.90625" customWidth="1"/>
    <col min="9" max="26" width="12.453125" customWidth="1"/>
  </cols>
  <sheetData>
    <row r="1" spans="2:8" ht="26" customHeight="1" x14ac:dyDescent="0.25">
      <c r="B1" s="81" t="s">
        <v>230</v>
      </c>
      <c r="C1" s="81"/>
      <c r="D1" s="81"/>
      <c r="E1" s="81"/>
      <c r="F1" s="81"/>
      <c r="G1" s="81"/>
      <c r="H1" s="81"/>
    </row>
    <row r="2" spans="2:8" ht="12.5" customHeight="1" x14ac:dyDescent="0.25"/>
    <row r="3" spans="2:8" ht="15.75" customHeight="1" x14ac:dyDescent="0.25">
      <c r="B3" s="91" t="s">
        <v>106</v>
      </c>
      <c r="C3" s="58" t="s">
        <v>222</v>
      </c>
      <c r="D3" s="91" t="s">
        <v>107</v>
      </c>
      <c r="E3" s="92" t="s">
        <v>222</v>
      </c>
      <c r="F3" s="91" t="s">
        <v>108</v>
      </c>
      <c r="G3" s="92" t="s">
        <v>222</v>
      </c>
      <c r="H3" s="91" t="s">
        <v>109</v>
      </c>
    </row>
    <row r="4" spans="2:8" ht="40.5" customHeight="1" x14ac:dyDescent="0.3">
      <c r="B4" s="101" t="s">
        <v>110</v>
      </c>
      <c r="C4" s="93"/>
      <c r="D4" s="101" t="s">
        <v>111</v>
      </c>
      <c r="E4" s="93"/>
      <c r="F4" s="101" t="s">
        <v>112</v>
      </c>
      <c r="G4" s="94"/>
      <c r="H4" s="101" t="s">
        <v>113</v>
      </c>
    </row>
    <row r="5" spans="2:8" ht="15.75" customHeight="1" x14ac:dyDescent="0.25"/>
    <row r="6" spans="2:8" ht="15.75" customHeight="1" x14ac:dyDescent="0.3">
      <c r="B6" s="95" t="s">
        <v>114</v>
      </c>
      <c r="C6" s="96"/>
      <c r="D6" s="96"/>
    </row>
    <row r="7" spans="2:8" ht="15.75" customHeight="1" x14ac:dyDescent="0.3">
      <c r="B7" s="59" t="s">
        <v>115</v>
      </c>
      <c r="C7" s="60"/>
      <c r="D7" s="97">
        <f>SUMPRODUCT(DataBase!$P$2:$P$1186*(DataBase!$C$2:$C$1186-DataBase!$B$2:$B$1186))/SUM(DataBase!$P$2:$P$1186)</f>
        <v>63.931880108991827</v>
      </c>
    </row>
    <row r="8" spans="2:8" ht="15.75" customHeight="1" x14ac:dyDescent="0.3">
      <c r="B8" s="64" t="s">
        <v>116</v>
      </c>
      <c r="C8" s="65"/>
      <c r="D8" s="98">
        <f t="array" ref="D8">MEDIAN(IF(DataBase!$P$2:$P$1186=1,DataBase!$C$2:$C$1186-DataBase!$B$2:$B$1186))</f>
        <v>56</v>
      </c>
    </row>
    <row r="9" spans="2:8" ht="15.75" customHeight="1" x14ac:dyDescent="0.3">
      <c r="B9" s="59" t="s">
        <v>117</v>
      </c>
      <c r="C9" s="60"/>
      <c r="D9" s="62">
        <f>SUM(DataBase!$P$2:$P$1186)/COUNTA(DataBase!$A$2:$A$1186)</f>
        <v>0.30970464135021097</v>
      </c>
    </row>
    <row r="10" spans="2:8" ht="25.5" customHeight="1" x14ac:dyDescent="0.3">
      <c r="B10" s="99" t="s">
        <v>118</v>
      </c>
      <c r="C10" s="65"/>
      <c r="D10" s="98">
        <f>COUNTA(DataBase!$A$2:$A$1186)-SUM(DataBase!$P$2:$P$1186)</f>
        <v>818</v>
      </c>
    </row>
    <row r="11" spans="2:8" ht="26" customHeight="1" x14ac:dyDescent="0.3">
      <c r="B11" s="100" t="s">
        <v>119</v>
      </c>
      <c r="C11" s="60"/>
      <c r="D11" s="62">
        <f>COUNTIFS(DataBase!$C$2:$C$1186,"&lt;&gt;",DataBase!$P$2:$P$1186,0)/COUNTIF(DataBase!$C$2:$C$1186,"&lt;&gt;")</f>
        <v>2.9100529100529099E-2</v>
      </c>
    </row>
    <row r="12" spans="2:8" ht="16.5" customHeight="1" x14ac:dyDescent="0.3">
      <c r="B12" s="104"/>
      <c r="C12" s="105"/>
      <c r="D12" s="106"/>
    </row>
    <row r="13" spans="2:8" ht="15.75" customHeight="1" x14ac:dyDescent="0.25">
      <c r="B13" s="103" t="s">
        <v>232</v>
      </c>
      <c r="C13" s="103"/>
      <c r="D13" s="103"/>
      <c r="E13" s="103"/>
      <c r="F13" s="103"/>
      <c r="G13" s="103"/>
      <c r="H13" s="103"/>
    </row>
    <row r="14" spans="2:8" ht="143.5" customHeight="1" x14ac:dyDescent="0.25">
      <c r="B14" s="132" t="s">
        <v>233</v>
      </c>
      <c r="C14" s="129"/>
      <c r="D14" s="129"/>
      <c r="E14" s="129"/>
      <c r="F14" s="129"/>
      <c r="G14" s="129"/>
      <c r="H14" s="129"/>
    </row>
    <row r="15" spans="2:8" ht="15.75" customHeight="1" x14ac:dyDescent="0.25"/>
    <row r="16" spans="2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">
    <mergeCell ref="B14:H14"/>
    <mergeCell ref="B1:H1"/>
    <mergeCell ref="B13:H13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</sheetPr>
  <dimension ref="B1:F11"/>
  <sheetViews>
    <sheetView topLeftCell="A4" zoomScaleNormal="100" workbookViewId="0">
      <selection activeCell="B11" sqref="B11:D11"/>
    </sheetView>
  </sheetViews>
  <sheetFormatPr defaultColWidth="8.6328125" defaultRowHeight="12.5" x14ac:dyDescent="0.25"/>
  <cols>
    <col min="2" max="2" width="45" customWidth="1"/>
    <col min="3" max="3" width="28.81640625" customWidth="1"/>
    <col min="4" max="4" width="55" customWidth="1"/>
  </cols>
  <sheetData>
    <row r="1" spans="2:6" ht="26" customHeight="1" x14ac:dyDescent="0.25">
      <c r="B1" s="81" t="s">
        <v>231</v>
      </c>
      <c r="C1" s="81"/>
      <c r="D1" s="81"/>
    </row>
    <row r="2" spans="2:6" ht="15" customHeight="1" x14ac:dyDescent="0.35">
      <c r="B2" s="102" t="s">
        <v>155</v>
      </c>
      <c r="C2" s="102" t="s">
        <v>156</v>
      </c>
      <c r="D2" s="102" t="s">
        <v>157</v>
      </c>
    </row>
    <row r="3" spans="2:6" ht="60" customHeight="1" x14ac:dyDescent="0.25">
      <c r="B3" s="107" t="s">
        <v>158</v>
      </c>
      <c r="C3" s="109">
        <f>SUMPRODUCT((DataBase!$J$2:$J$1186&lt;&gt;"")*(1-(EXACT(DataBase!$J$2:$J$1186,"apartment")+EXACT(DataBase!$J$2:$J$1186,"house")+EXACT(DataBase!$J$2:$J$1186,"commercial")+EXACT(DataBase!$J$2:$J$1186,"land"))))</f>
        <v>17</v>
      </c>
      <c r="D3" s="107" t="s">
        <v>159</v>
      </c>
    </row>
    <row r="4" spans="2:6" ht="60" customHeight="1" x14ac:dyDescent="0.25">
      <c r="B4" s="108" t="s">
        <v>160</v>
      </c>
      <c r="C4" s="110">
        <f>COUNTIFS(DataBase!$C$2:$C$1186,"&lt;&gt;",DataBase!$P$2:$P$1186,0)</f>
        <v>11</v>
      </c>
      <c r="D4" s="108" t="s">
        <v>161</v>
      </c>
    </row>
    <row r="5" spans="2:6" ht="60" customHeight="1" x14ac:dyDescent="0.25">
      <c r="B5" s="107" t="s">
        <v>162</v>
      </c>
      <c r="C5" s="109">
        <f>COUNTIF(DataBase!$K$2:$K$1186,"&lt;18")</f>
        <v>1</v>
      </c>
      <c r="D5" s="107" t="s">
        <v>163</v>
      </c>
    </row>
    <row r="6" spans="2:6" ht="60" customHeight="1" x14ac:dyDescent="0.25">
      <c r="B6" s="108" t="s">
        <v>164</v>
      </c>
      <c r="C6" s="110">
        <f>COUNTIFS(DataBase!$B$2:$B$1186,"&lt;"&amp;DATE(2024,7,1))+COUNTIFS(DataBase!$B$2:$B$1186,"&gt;="&amp;DATE(2026,1,1))</f>
        <v>62</v>
      </c>
      <c r="D6" s="108" t="s">
        <v>165</v>
      </c>
      <c r="F6" s="28"/>
    </row>
    <row r="7" spans="2:6" ht="60" customHeight="1" x14ac:dyDescent="0.25">
      <c r="B7" s="107" t="s">
        <v>166</v>
      </c>
      <c r="C7" s="109">
        <f>SUMPRODUCT((DataBase!$I$2:$I$1186&gt;DataBase!$H$2:$H$1186)*1)</f>
        <v>18</v>
      </c>
      <c r="D7" s="107" t="s">
        <v>167</v>
      </c>
    </row>
    <row r="8" spans="2:6" ht="60" customHeight="1" x14ac:dyDescent="0.25">
      <c r="B8" s="108" t="s">
        <v>168</v>
      </c>
      <c r="C8" s="110">
        <f>COUNTBLANK(DataBase!$F$2:$F$1186)</f>
        <v>486</v>
      </c>
      <c r="D8" s="108" t="s">
        <v>169</v>
      </c>
    </row>
    <row r="9" spans="2:6" ht="60" customHeight="1" x14ac:dyDescent="0.25">
      <c r="B9" s="107" t="s">
        <v>170</v>
      </c>
      <c r="C9" s="109">
        <f>COUNTBLANK(DataBase!$D$2:$D$1186)</f>
        <v>19</v>
      </c>
      <c r="D9" s="107" t="s">
        <v>171</v>
      </c>
    </row>
    <row r="11" spans="2:6" ht="45" customHeight="1" x14ac:dyDescent="0.25">
      <c r="B11" s="133" t="s">
        <v>172</v>
      </c>
      <c r="C11" s="129"/>
      <c r="D11" s="129"/>
    </row>
  </sheetData>
  <mergeCells count="2">
    <mergeCell ref="B11:D11"/>
    <mergeCell ref="B1:D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B2:H32"/>
  <sheetViews>
    <sheetView tabSelected="1" zoomScaleNormal="100" workbookViewId="0">
      <pane xSplit="1" ySplit="6" topLeftCell="B9" activePane="bottomRight" state="frozen"/>
      <selection pane="topRight" activeCell="B1" sqref="B1"/>
      <selection pane="bottomLeft" activeCell="A7" sqref="A7"/>
      <selection pane="bottomRight" activeCell="F7" sqref="F7"/>
    </sheetView>
  </sheetViews>
  <sheetFormatPr defaultColWidth="8.6328125" defaultRowHeight="12.5" x14ac:dyDescent="0.25"/>
  <cols>
    <col min="1" max="1" width="2" customWidth="1"/>
    <col min="2" max="2" width="46" customWidth="1"/>
    <col min="3" max="3" width="46.36328125" bestFit="1" customWidth="1"/>
    <col min="4" max="4" width="37.90625" bestFit="1" customWidth="1"/>
    <col min="5" max="5" width="14.36328125" bestFit="1" customWidth="1"/>
    <col min="6" max="6" width="16" customWidth="1"/>
    <col min="7" max="7" width="14.26953125" customWidth="1"/>
    <col min="8" max="8" width="10" customWidth="1"/>
  </cols>
  <sheetData>
    <row r="2" spans="2:8" ht="26" customHeight="1" x14ac:dyDescent="0.25">
      <c r="B2" s="112" t="s">
        <v>173</v>
      </c>
      <c r="C2" s="113"/>
      <c r="D2" s="113"/>
      <c r="E2" s="113"/>
      <c r="F2" s="113"/>
      <c r="G2" s="113"/>
      <c r="H2" s="113"/>
    </row>
    <row r="3" spans="2:8" ht="43.5" customHeight="1" x14ac:dyDescent="0.25">
      <c r="B3" s="114" t="s">
        <v>174</v>
      </c>
      <c r="C3" s="114"/>
      <c r="D3" s="114"/>
      <c r="E3" s="114"/>
      <c r="F3" s="114"/>
      <c r="G3" s="114"/>
      <c r="H3" s="114"/>
    </row>
    <row r="4" spans="2:8" ht="27.75" customHeight="1" x14ac:dyDescent="0.25">
      <c r="B4" s="114" t="s">
        <v>175</v>
      </c>
      <c r="C4" s="114"/>
      <c r="D4" s="114"/>
      <c r="E4" s="114"/>
      <c r="F4" s="114"/>
      <c r="G4" s="114"/>
      <c r="H4" s="114"/>
    </row>
    <row r="6" spans="2:8" ht="42" x14ac:dyDescent="0.25">
      <c r="B6" s="115" t="s">
        <v>176</v>
      </c>
      <c r="C6" s="115" t="s">
        <v>177</v>
      </c>
      <c r="D6" s="115" t="s">
        <v>221</v>
      </c>
      <c r="E6" s="115" t="s">
        <v>178</v>
      </c>
      <c r="F6" s="115" t="s">
        <v>179</v>
      </c>
      <c r="G6" s="115" t="s">
        <v>180</v>
      </c>
      <c r="H6" s="115" t="s">
        <v>181</v>
      </c>
    </row>
    <row r="7" spans="2:8" x14ac:dyDescent="0.25">
      <c r="B7" s="107" t="s">
        <v>182</v>
      </c>
      <c r="C7" s="107" t="s">
        <v>183</v>
      </c>
      <c r="D7" s="107" t="str">
        <f t="shared" ref="D7:D25" ca="1" si="0">_xlfn.FORMULATEXT(E7)</f>
        <v>=SOMA('Q1 - Summary'!C4:H4)</v>
      </c>
      <c r="E7" s="61">
        <f>SUM('Q1 - Summary'!C4:H4)</f>
        <v>187388999</v>
      </c>
      <c r="F7" s="61">
        <v>187388999</v>
      </c>
      <c r="G7" s="116">
        <v>0</v>
      </c>
      <c r="H7" s="60" t="str">
        <f t="shared" ref="H7:H30" si="1">IF(ROUND(E7,G7)=ROUND(F7,G7),"OK","DIVERGE")</f>
        <v>OK</v>
      </c>
    </row>
    <row r="8" spans="2:8" x14ac:dyDescent="0.25">
      <c r="B8" s="108" t="s">
        <v>184</v>
      </c>
      <c r="C8" s="108" t="s">
        <v>185</v>
      </c>
      <c r="D8" s="108" t="str">
        <f t="shared" ca="1" si="0"/>
        <v>=SOMA('Q1 - Summary'!C16:H16)</v>
      </c>
      <c r="E8" s="66">
        <f>SUM('Q1 - Summary'!C16:H16)</f>
        <v>56807332</v>
      </c>
      <c r="F8" s="66">
        <v>56807332</v>
      </c>
      <c r="G8" s="117">
        <v>0</v>
      </c>
      <c r="H8" s="65" t="str">
        <f t="shared" si="1"/>
        <v>OK</v>
      </c>
    </row>
    <row r="9" spans="2:8" x14ac:dyDescent="0.25">
      <c r="B9" s="107" t="s">
        <v>186</v>
      </c>
      <c r="C9" s="107" t="s">
        <v>185</v>
      </c>
      <c r="D9" s="107" t="str">
        <f t="shared" ca="1" si="0"/>
        <v>=E8/E7</v>
      </c>
      <c r="E9" s="118">
        <f>E8/E7</f>
        <v>0.30315190487783117</v>
      </c>
      <c r="F9" s="118">
        <v>0.30320000000000003</v>
      </c>
      <c r="G9" s="116">
        <v>4</v>
      </c>
      <c r="H9" s="60" t="str">
        <f t="shared" si="1"/>
        <v>OK</v>
      </c>
    </row>
    <row r="10" spans="2:8" ht="37.5" x14ac:dyDescent="0.25">
      <c r="B10" s="108" t="s">
        <v>187</v>
      </c>
      <c r="C10" s="108" t="s">
        <v>188</v>
      </c>
      <c r="D10" s="108" t="str">
        <f t="shared" ca="1" si="0"/>
        <v>=CONTAR.SE.S(DataBase!$B$2:$B$1186;"&gt;="&amp;DATA(2024;7;1);DataBase!$B$2:$B$1186;"&lt;"&amp;DATA(2026;1;1))</v>
      </c>
      <c r="E10" s="119">
        <f>COUNTIFS(DataBase!$B$2:$B$1186,"&gt;="&amp;DATE(2024,7,1),DataBase!$B$2:$B$1186,"&lt;"&amp;DATE(2026,1,1))</f>
        <v>1123</v>
      </c>
      <c r="F10" s="119">
        <v>1123</v>
      </c>
      <c r="G10" s="117">
        <v>0</v>
      </c>
      <c r="H10" s="65" t="str">
        <f t="shared" si="1"/>
        <v>OK</v>
      </c>
    </row>
    <row r="11" spans="2:8" x14ac:dyDescent="0.25">
      <c r="B11" s="107" t="s">
        <v>189</v>
      </c>
      <c r="C11" s="107" t="s">
        <v>190</v>
      </c>
      <c r="D11" s="120" t="str">
        <f ca="1">_xlfn.FORMULATEXT(E11)</f>
        <v>='Q3'!D7</v>
      </c>
      <c r="E11" s="97">
        <f>'Q3'!D7</f>
        <v>63.931880108991827</v>
      </c>
      <c r="F11" s="97">
        <v>63.9</v>
      </c>
      <c r="G11" s="116">
        <v>1</v>
      </c>
      <c r="H11" s="60" t="str">
        <f t="shared" si="1"/>
        <v>OK</v>
      </c>
    </row>
    <row r="12" spans="2:8" x14ac:dyDescent="0.25">
      <c r="B12" s="108" t="s">
        <v>116</v>
      </c>
      <c r="C12" s="108" t="s">
        <v>191</v>
      </c>
      <c r="D12" s="121" t="str">
        <f t="shared" ca="1" si="0"/>
        <v>='Q3'!D8</v>
      </c>
      <c r="E12" s="98">
        <f>'Q3'!D8</f>
        <v>56</v>
      </c>
      <c r="F12" s="98">
        <v>56</v>
      </c>
      <c r="G12" s="117">
        <v>1</v>
      </c>
      <c r="H12" s="65" t="str">
        <f t="shared" si="1"/>
        <v>OK</v>
      </c>
    </row>
    <row r="13" spans="2:8" x14ac:dyDescent="0.25">
      <c r="B13" s="107" t="s">
        <v>192</v>
      </c>
      <c r="C13" s="107" t="s">
        <v>193</v>
      </c>
      <c r="D13" s="120" t="str">
        <f t="shared" ca="1" si="0"/>
        <v>='Q3'!D10</v>
      </c>
      <c r="E13" s="122">
        <f>'Q3'!D10</f>
        <v>818</v>
      </c>
      <c r="F13" s="122">
        <v>818</v>
      </c>
      <c r="G13" s="116">
        <v>0</v>
      </c>
      <c r="H13" s="60" t="str">
        <f t="shared" si="1"/>
        <v>OK</v>
      </c>
    </row>
    <row r="14" spans="2:8" ht="25" x14ac:dyDescent="0.25">
      <c r="B14" s="108" t="s">
        <v>194</v>
      </c>
      <c r="C14" s="108" t="s">
        <v>191</v>
      </c>
      <c r="D14" s="123" t="str">
        <f t="shared" ca="1" si="0"/>
        <v>='Q3'!D9</v>
      </c>
      <c r="E14" s="124">
        <f>'Q3'!D9</f>
        <v>0.30970464135021097</v>
      </c>
      <c r="F14" s="124">
        <v>0.30969999999999998</v>
      </c>
      <c r="G14" s="117">
        <v>4</v>
      </c>
      <c r="H14" s="65" t="str">
        <f t="shared" si="1"/>
        <v>OK</v>
      </c>
    </row>
    <row r="15" spans="2:8" x14ac:dyDescent="0.25">
      <c r="B15" s="107" t="s">
        <v>195</v>
      </c>
      <c r="C15" s="107" t="s">
        <v>196</v>
      </c>
      <c r="D15" s="125" t="str">
        <f t="shared" ca="1" si="0"/>
        <v>='Q2 - Canal'!D3</v>
      </c>
      <c r="E15" s="61">
        <f>'Q2 - Canal'!D3</f>
        <v>126093825</v>
      </c>
      <c r="F15" s="61">
        <v>126093825</v>
      </c>
      <c r="G15" s="116">
        <v>0</v>
      </c>
      <c r="H15" s="60" t="str">
        <f t="shared" si="1"/>
        <v>OK</v>
      </c>
    </row>
    <row r="16" spans="2:8" x14ac:dyDescent="0.25">
      <c r="B16" s="108" t="s">
        <v>197</v>
      </c>
      <c r="C16" s="108" t="s">
        <v>196</v>
      </c>
      <c r="D16" s="108" t="str">
        <f t="shared" ca="1" si="0"/>
        <v>='Q2 - Canal'!C3</v>
      </c>
      <c r="E16" s="119">
        <f>'Q2 - Canal'!C3</f>
        <v>760</v>
      </c>
      <c r="F16" s="119">
        <v>760</v>
      </c>
      <c r="G16" s="117">
        <v>0</v>
      </c>
      <c r="H16" s="65" t="str">
        <f t="shared" si="1"/>
        <v>OK</v>
      </c>
    </row>
    <row r="17" spans="2:8" x14ac:dyDescent="0.25">
      <c r="B17" s="107" t="s">
        <v>198</v>
      </c>
      <c r="C17" s="107" t="s">
        <v>196</v>
      </c>
      <c r="D17" s="126" t="str">
        <f t="shared" ca="1" si="0"/>
        <v>='Q2 - Canal'!G3</v>
      </c>
      <c r="E17" s="118">
        <f>'Q2 - Canal'!G3</f>
        <v>0.28113610638744602</v>
      </c>
      <c r="F17" s="118">
        <v>0.28110000000000002</v>
      </c>
      <c r="G17" s="116">
        <v>4</v>
      </c>
      <c r="H17" s="60" t="str">
        <f t="shared" si="1"/>
        <v>OK</v>
      </c>
    </row>
    <row r="18" spans="2:8" x14ac:dyDescent="0.25">
      <c r="B18" s="108" t="s">
        <v>199</v>
      </c>
      <c r="C18" s="108" t="s">
        <v>196</v>
      </c>
      <c r="D18" s="127" t="str">
        <f t="shared" ca="1" si="0"/>
        <v>='Q2 - Canal'!D5</v>
      </c>
      <c r="E18" s="66">
        <f>'Q2 - Canal'!D5</f>
        <v>17625014</v>
      </c>
      <c r="F18" s="66">
        <v>17625014</v>
      </c>
      <c r="G18" s="117">
        <v>0</v>
      </c>
      <c r="H18" s="65" t="str">
        <f t="shared" si="1"/>
        <v>OK</v>
      </c>
    </row>
    <row r="19" spans="2:8" x14ac:dyDescent="0.25">
      <c r="B19" s="107" t="s">
        <v>200</v>
      </c>
      <c r="C19" s="107" t="s">
        <v>196</v>
      </c>
      <c r="D19" s="126" t="str">
        <f t="shared" ca="1" si="0"/>
        <v>='Q2 - Canal'!G5</v>
      </c>
      <c r="E19" s="118">
        <f>'Q2 - Canal'!G5</f>
        <v>0.39220814235948975</v>
      </c>
      <c r="F19" s="118">
        <v>0.39219999999999999</v>
      </c>
      <c r="G19" s="116">
        <v>4</v>
      </c>
      <c r="H19" s="60" t="str">
        <f t="shared" si="1"/>
        <v>OK</v>
      </c>
    </row>
    <row r="20" spans="2:8" x14ac:dyDescent="0.25">
      <c r="B20" s="108" t="s">
        <v>201</v>
      </c>
      <c r="C20" s="108" t="s">
        <v>196</v>
      </c>
      <c r="D20" s="127" t="str">
        <f t="shared" ca="1" si="0"/>
        <v>='Q2 - Canal'!D6</v>
      </c>
      <c r="E20" s="66">
        <f>'Q2 - Canal'!D6</f>
        <v>10822251</v>
      </c>
      <c r="F20" s="66">
        <v>10822251</v>
      </c>
      <c r="G20" s="117">
        <v>0</v>
      </c>
      <c r="H20" s="65" t="str">
        <f t="shared" si="1"/>
        <v>OK</v>
      </c>
    </row>
    <row r="21" spans="2:8" x14ac:dyDescent="0.25">
      <c r="B21" s="107" t="s">
        <v>202</v>
      </c>
      <c r="C21" s="107" t="s">
        <v>196</v>
      </c>
      <c r="D21" s="126" t="str">
        <f t="shared" ca="1" si="0"/>
        <v>='Q2 - Canal'!F6</v>
      </c>
      <c r="E21" s="118">
        <f>'Q2 - Canal'!F6</f>
        <v>0.40579710144927539</v>
      </c>
      <c r="F21" s="118">
        <v>0.40579999999999999</v>
      </c>
      <c r="G21" s="116">
        <v>4</v>
      </c>
      <c r="H21" s="60" t="str">
        <f t="shared" si="1"/>
        <v>OK</v>
      </c>
    </row>
    <row r="22" spans="2:8" ht="25" x14ac:dyDescent="0.25">
      <c r="B22" s="108" t="s">
        <v>203</v>
      </c>
      <c r="C22" s="108" t="s">
        <v>204</v>
      </c>
      <c r="D22" s="108" t="str">
        <f t="shared" ca="1" si="0"/>
        <v>='Q2 - Canal'!C9</v>
      </c>
      <c r="E22" s="119">
        <f>'Q2 - Canal'!C9</f>
        <v>2</v>
      </c>
      <c r="F22" s="119">
        <v>2</v>
      </c>
      <c r="G22" s="117">
        <v>0</v>
      </c>
      <c r="H22" s="65" t="str">
        <f t="shared" si="1"/>
        <v>OK</v>
      </c>
    </row>
    <row r="23" spans="2:8" ht="25" x14ac:dyDescent="0.25">
      <c r="B23" s="107" t="s">
        <v>205</v>
      </c>
      <c r="C23" s="107" t="s">
        <v>206</v>
      </c>
      <c r="D23" s="107" t="str">
        <f t="shared" ca="1" si="0"/>
        <v>=CONTAR.VAL('Q4 - Qualidade de Dados'!B3:B9)</v>
      </c>
      <c r="E23" s="122">
        <f>COUNTA('Q4 - Qualidade de Dados'!B3:B9)</f>
        <v>7</v>
      </c>
      <c r="F23" s="122">
        <v>7</v>
      </c>
      <c r="G23" s="116">
        <v>0</v>
      </c>
      <c r="H23" s="60" t="str">
        <f t="shared" si="1"/>
        <v>OK</v>
      </c>
    </row>
    <row r="24" spans="2:8" ht="25" x14ac:dyDescent="0.25">
      <c r="B24" s="108" t="s">
        <v>207</v>
      </c>
      <c r="C24" s="108" t="s">
        <v>208</v>
      </c>
      <c r="D24" s="108" t="str">
        <f t="shared" ca="1" si="0"/>
        <v>=SOMA('Q4 - Qualidade de Dados'!C3:C9)</v>
      </c>
      <c r="E24" s="119">
        <f>SUM('Q4 - Qualidade de Dados'!C3:C9)</f>
        <v>614</v>
      </c>
      <c r="F24" s="119">
        <v>614</v>
      </c>
      <c r="G24" s="117">
        <v>0</v>
      </c>
      <c r="H24" s="65" t="str">
        <f t="shared" si="1"/>
        <v>OK</v>
      </c>
    </row>
    <row r="25" spans="2:8" ht="25" x14ac:dyDescent="0.25">
      <c r="B25" s="107" t="s">
        <v>209</v>
      </c>
      <c r="C25" s="107" t="s">
        <v>210</v>
      </c>
      <c r="D25" s="107" t="str">
        <f t="shared" ca="1" si="0"/>
        <v>='Q4 - Qualidade de Dados'!C4+'Q4 - Qualidade de Dados'!C5</v>
      </c>
      <c r="E25" s="122">
        <f>'Q4 - Qualidade de Dados'!C4+'Q4 - Qualidade de Dados'!C5</f>
        <v>12</v>
      </c>
      <c r="F25" s="122">
        <v>12</v>
      </c>
      <c r="G25" s="116">
        <v>0</v>
      </c>
      <c r="H25" s="60" t="str">
        <f t="shared" si="1"/>
        <v>OK</v>
      </c>
    </row>
    <row r="26" spans="2:8" ht="37.5" x14ac:dyDescent="0.25">
      <c r="B26" s="108" t="s">
        <v>211</v>
      </c>
      <c r="C26" s="108" t="s">
        <v>212</v>
      </c>
      <c r="D26" s="108" t="s">
        <v>213</v>
      </c>
      <c r="E26" s="119">
        <v>0</v>
      </c>
      <c r="F26" s="119">
        <v>0</v>
      </c>
      <c r="G26" s="117">
        <v>0</v>
      </c>
      <c r="H26" s="65" t="str">
        <f t="shared" si="1"/>
        <v>OK</v>
      </c>
    </row>
    <row r="27" spans="2:8" ht="25" x14ac:dyDescent="0.25">
      <c r="B27" s="107" t="s">
        <v>214</v>
      </c>
      <c r="C27" s="107" t="s">
        <v>215</v>
      </c>
      <c r="D27" s="126" t="str">
        <f ca="1">_xlfn.FORMULATEXT(E27)</f>
        <v>='Q1 - Summary'!C17</v>
      </c>
      <c r="E27" s="118">
        <f>'Q1 - Summary'!C17</f>
        <v>0.63275554794322619</v>
      </c>
      <c r="F27" s="118">
        <v>0.63280000000000003</v>
      </c>
      <c r="G27" s="116">
        <v>4</v>
      </c>
      <c r="H27" s="60" t="str">
        <f t="shared" si="1"/>
        <v>OK</v>
      </c>
    </row>
    <row r="28" spans="2:8" x14ac:dyDescent="0.25">
      <c r="B28" s="108" t="s">
        <v>216</v>
      </c>
      <c r="C28" s="108" t="s">
        <v>217</v>
      </c>
      <c r="D28" s="123" t="str">
        <f ca="1">_xlfn.FORMULATEXT(E28)</f>
        <v>='Q1 - Summary'!F17</v>
      </c>
      <c r="E28" s="124">
        <f>'Q1 - Summary'!F17</f>
        <v>0.4126578507800196</v>
      </c>
      <c r="F28" s="124">
        <v>0.41270000000000001</v>
      </c>
      <c r="G28" s="117">
        <v>4</v>
      </c>
      <c r="H28" s="65" t="str">
        <f t="shared" si="1"/>
        <v>OK</v>
      </c>
    </row>
    <row r="29" spans="2:8" x14ac:dyDescent="0.25">
      <c r="B29" s="107" t="s">
        <v>218</v>
      </c>
      <c r="C29" s="107" t="s">
        <v>217</v>
      </c>
      <c r="D29" s="126" t="str">
        <f ca="1">_xlfn.FORMULATEXT(E29)</f>
        <v>='Q1 - Summary'!G17</v>
      </c>
      <c r="E29" s="118">
        <f>'Q1 - Summary'!G17</f>
        <v>0.20229742605228621</v>
      </c>
      <c r="F29" s="118">
        <v>0.20230000000000001</v>
      </c>
      <c r="G29" s="116">
        <v>4</v>
      </c>
      <c r="H29" s="60" t="str">
        <f t="shared" si="1"/>
        <v>OK</v>
      </c>
    </row>
    <row r="30" spans="2:8" x14ac:dyDescent="0.25">
      <c r="B30" s="108" t="s">
        <v>219</v>
      </c>
      <c r="C30" s="108" t="s">
        <v>220</v>
      </c>
      <c r="D30" s="123" t="str">
        <f ca="1">_xlfn.FORMULATEXT(E30)</f>
        <v>='Q1 - Summary'!H17</v>
      </c>
      <c r="E30" s="124">
        <f>'Q1 - Summary'!H17</f>
        <v>0.214350936537684</v>
      </c>
      <c r="F30" s="124">
        <v>0.21440000000000001</v>
      </c>
      <c r="G30" s="117">
        <v>4</v>
      </c>
      <c r="H30" s="65" t="str">
        <f t="shared" si="1"/>
        <v>OK</v>
      </c>
    </row>
    <row r="32" spans="2:8" ht="14" x14ac:dyDescent="0.3">
      <c r="B32" s="27" t="str">
        <f>"Conferência: "&amp;COUNTIF(H7:H30,"OK")&amp;" de "&amp;COUNTA(H7:H30)&amp;" métricas batem com o dashboard, ponto a ponto."</f>
        <v>Conferência: 24 de 24 métricas batem com o dashboard, ponto a ponto.</v>
      </c>
      <c r="C32" s="27"/>
      <c r="D32" s="27"/>
      <c r="E32" s="27"/>
      <c r="F32" s="27"/>
      <c r="G32" s="27"/>
      <c r="H32" s="27"/>
    </row>
  </sheetData>
  <mergeCells count="3">
    <mergeCell ref="B4:H4"/>
    <mergeCell ref="B32:H32"/>
    <mergeCell ref="B3:H3"/>
  </mergeCells>
  <conditionalFormatting sqref="H7:H30">
    <cfRule type="expression" dxfId="3" priority="1">
      <formula>$H7="OK"</formula>
    </cfRule>
  </conditionalFormatting>
  <conditionalFormatting sqref="H7:H30">
    <cfRule type="expression" dxfId="2" priority="2">
      <formula>$H7="DIVERGE"</formula>
    </cfRule>
  </conditionalFormatting>
  <conditionalFormatting sqref="B32:H32">
    <cfRule type="expression" dxfId="1" priority="3">
      <formula>COUNTIF($H$7:$H$30,"OK")=COUNTA($H$7:$H$30)</formula>
    </cfRule>
  </conditionalFormatting>
  <conditionalFormatting sqref="B32:H32">
    <cfRule type="expression" dxfId="0" priority="4">
      <formula>COUNTIF($H$7:$H$30,"OK")&lt;&gt;COUNTA($H$7:$H$30)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D8"/>
  <sheetViews>
    <sheetView zoomScaleNormal="100" workbookViewId="0">
      <selection activeCell="B7" sqref="B7"/>
    </sheetView>
  </sheetViews>
  <sheetFormatPr defaultColWidth="8.6328125" defaultRowHeight="12.5" x14ac:dyDescent="0.25"/>
  <cols>
    <col min="1" max="1" width="21.26953125" bestFit="1" customWidth="1"/>
    <col min="2" max="2" width="12.90625" bestFit="1" customWidth="1"/>
    <col min="4" max="4" width="63.08984375" customWidth="1"/>
  </cols>
  <sheetData>
    <row r="1" spans="1:4" ht="15" customHeight="1" x14ac:dyDescent="0.3">
      <c r="A1" s="1" t="s">
        <v>142</v>
      </c>
      <c r="B1" s="1" t="s">
        <v>143</v>
      </c>
      <c r="D1" s="134" t="s">
        <v>144</v>
      </c>
    </row>
    <row r="2" spans="1:4" ht="15" customHeight="1" x14ac:dyDescent="0.25">
      <c r="A2" t="s">
        <v>33</v>
      </c>
      <c r="B2" t="s">
        <v>33</v>
      </c>
      <c r="D2" s="134"/>
    </row>
    <row r="3" spans="1:4" ht="15" customHeight="1" x14ac:dyDescent="0.25">
      <c r="A3" t="s">
        <v>62</v>
      </c>
      <c r="B3" t="s">
        <v>33</v>
      </c>
    </row>
    <row r="4" spans="1:4" ht="15" customHeight="1" x14ac:dyDescent="0.25">
      <c r="A4" t="s">
        <v>145</v>
      </c>
      <c r="B4" t="s">
        <v>33</v>
      </c>
    </row>
    <row r="5" spans="1:4" ht="15" customHeight="1" x14ac:dyDescent="0.25">
      <c r="A5" t="s">
        <v>37</v>
      </c>
      <c r="B5" t="s">
        <v>37</v>
      </c>
    </row>
    <row r="6" spans="1:4" ht="15" customHeight="1" x14ac:dyDescent="0.25">
      <c r="A6" t="s">
        <v>79</v>
      </c>
      <c r="B6" t="s">
        <v>37</v>
      </c>
    </row>
    <row r="7" spans="1:4" ht="15" customHeight="1" x14ac:dyDescent="0.25">
      <c r="A7" t="s">
        <v>53</v>
      </c>
      <c r="B7" t="s">
        <v>48</v>
      </c>
    </row>
    <row r="8" spans="1:4" ht="15" customHeight="1" x14ac:dyDescent="0.25">
      <c r="A8" t="s">
        <v>60</v>
      </c>
      <c r="B8" t="s">
        <v>48</v>
      </c>
    </row>
  </sheetData>
  <mergeCells count="1">
    <mergeCell ref="D1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  <outlinePr summaryBelow="0"/>
  </sheetPr>
  <dimension ref="A1:P1186"/>
  <sheetViews>
    <sheetView topLeftCell="C1" zoomScaleNormal="100" workbookViewId="0">
      <selection activeCell="P7" sqref="P7"/>
    </sheetView>
  </sheetViews>
  <sheetFormatPr defaultColWidth="12.6328125" defaultRowHeight="15" customHeight="1" x14ac:dyDescent="0.25"/>
  <cols>
    <col min="1" max="1" width="14.54296875" customWidth="1"/>
    <col min="2" max="2" width="14.7265625" customWidth="1"/>
    <col min="3" max="4" width="14.54296875" customWidth="1"/>
    <col min="5" max="5" width="16.08984375" customWidth="1"/>
    <col min="6" max="7" width="14.54296875" customWidth="1"/>
    <col min="8" max="8" width="15.54296875" customWidth="1"/>
    <col min="9" max="13" width="14.54296875" customWidth="1"/>
    <col min="14" max="14" width="16.453125" customWidth="1"/>
    <col min="15" max="15" width="20.08984375" bestFit="1" customWidth="1"/>
    <col min="16" max="16" width="14.6328125" bestFit="1" customWidth="1"/>
    <col min="17" max="26" width="12.453125" customWidth="1"/>
  </cols>
  <sheetData>
    <row r="1" spans="1:16" ht="15.75" customHeight="1" x14ac:dyDescent="0.35">
      <c r="A1" s="8" t="s">
        <v>16</v>
      </c>
      <c r="B1" s="9" t="s">
        <v>17</v>
      </c>
      <c r="C1" s="9" t="s">
        <v>18</v>
      </c>
      <c r="D1" s="10" t="s">
        <v>19</v>
      </c>
      <c r="E1" s="10" t="s">
        <v>20</v>
      </c>
      <c r="F1" s="8" t="s">
        <v>21</v>
      </c>
      <c r="G1" s="8" t="s">
        <v>22</v>
      </c>
      <c r="H1" s="11" t="s">
        <v>23</v>
      </c>
      <c r="I1" s="12" t="s">
        <v>24</v>
      </c>
      <c r="J1" s="12" t="s">
        <v>25</v>
      </c>
      <c r="K1" s="12" t="s">
        <v>26</v>
      </c>
      <c r="L1" s="12" t="s">
        <v>27</v>
      </c>
      <c r="M1" s="12" t="s">
        <v>28</v>
      </c>
      <c r="N1" s="11" t="s">
        <v>29</v>
      </c>
      <c r="O1" s="1" t="s">
        <v>30</v>
      </c>
      <c r="P1" s="1" t="s">
        <v>31</v>
      </c>
    </row>
    <row r="2" spans="1:16" ht="15.75" customHeight="1" x14ac:dyDescent="0.35">
      <c r="A2" s="13">
        <v>1</v>
      </c>
      <c r="B2" s="14">
        <v>45309</v>
      </c>
      <c r="C2" s="15"/>
      <c r="D2" s="16" t="s">
        <v>32</v>
      </c>
      <c r="E2" s="17">
        <v>7000</v>
      </c>
      <c r="F2" s="18"/>
      <c r="G2" s="18"/>
      <c r="H2" s="19">
        <v>700000</v>
      </c>
      <c r="I2" s="19">
        <v>120000</v>
      </c>
      <c r="J2" s="20" t="s">
        <v>33</v>
      </c>
      <c r="K2" s="13">
        <v>47</v>
      </c>
      <c r="L2" s="21" t="s">
        <v>34</v>
      </c>
      <c r="M2" s="21" t="s">
        <v>35</v>
      </c>
      <c r="N2" s="16" t="s">
        <v>36</v>
      </c>
      <c r="O2" t="str">
        <f>IF(TRIM(J2)="","NULL",IFERROR(VLOOKUP(TRIM(J2),Lookup_PropertyType!$A:$B,2,FALSE()),"other"))</f>
        <v>apartment</v>
      </c>
      <c r="P2">
        <f t="shared" ref="P2:P65" si="0">IF(AND(C2&lt;&gt;"",C2&gt;=B2),1,0)</f>
        <v>0</v>
      </c>
    </row>
    <row r="3" spans="1:16" ht="15.75" customHeight="1" x14ac:dyDescent="0.35">
      <c r="A3" s="13">
        <v>2</v>
      </c>
      <c r="B3" s="14">
        <v>45523</v>
      </c>
      <c r="C3" s="14">
        <v>45565</v>
      </c>
      <c r="D3" s="16" t="s">
        <v>32</v>
      </c>
      <c r="E3" s="17">
        <v>7753</v>
      </c>
      <c r="F3" s="18"/>
      <c r="G3" s="18"/>
      <c r="H3" s="19">
        <v>1500000</v>
      </c>
      <c r="I3" s="19">
        <v>140000</v>
      </c>
      <c r="J3" s="20" t="s">
        <v>37</v>
      </c>
      <c r="K3" s="13">
        <v>45</v>
      </c>
      <c r="L3" s="21" t="s">
        <v>38</v>
      </c>
      <c r="M3" s="21" t="s">
        <v>39</v>
      </c>
      <c r="N3" s="16" t="s">
        <v>40</v>
      </c>
      <c r="O3" t="str">
        <f>IF(TRIM(J3)="","NULL",IFERROR(VLOOKUP(TRIM(J3),Lookup_PropertyType!$A:$B,2,FALSE()),"other"))</f>
        <v>house</v>
      </c>
      <c r="P3">
        <f t="shared" si="0"/>
        <v>1</v>
      </c>
    </row>
    <row r="4" spans="1:16" ht="15.75" customHeight="1" x14ac:dyDescent="0.35">
      <c r="A4" s="13">
        <v>3</v>
      </c>
      <c r="B4" s="14">
        <v>45501</v>
      </c>
      <c r="C4" s="15"/>
      <c r="D4" s="16" t="s">
        <v>32</v>
      </c>
      <c r="E4" s="17">
        <v>30000</v>
      </c>
      <c r="F4" s="18"/>
      <c r="G4" s="18"/>
      <c r="H4" s="19">
        <v>200000</v>
      </c>
      <c r="I4" s="19">
        <v>108000</v>
      </c>
      <c r="J4" s="20" t="s">
        <v>33</v>
      </c>
      <c r="K4" s="13">
        <v>44</v>
      </c>
      <c r="L4" s="21" t="s">
        <v>41</v>
      </c>
      <c r="M4" s="21" t="s">
        <v>39</v>
      </c>
      <c r="N4" s="16" t="s">
        <v>42</v>
      </c>
      <c r="O4" t="str">
        <f>IF(TRIM(J4)="","NULL",IFERROR(VLOOKUP(TRIM(J4),Lookup_PropertyType!$A:$B,2,FALSE()),"other"))</f>
        <v>apartment</v>
      </c>
      <c r="P4">
        <f t="shared" si="0"/>
        <v>0</v>
      </c>
    </row>
    <row r="5" spans="1:16" ht="15.75" customHeight="1" x14ac:dyDescent="0.35">
      <c r="A5" s="13">
        <v>4</v>
      </c>
      <c r="B5" s="14">
        <v>45576</v>
      </c>
      <c r="C5" s="15"/>
      <c r="D5" s="16" t="s">
        <v>32</v>
      </c>
      <c r="E5" s="17">
        <v>20000</v>
      </c>
      <c r="F5" s="18"/>
      <c r="G5" s="18"/>
      <c r="H5" s="19">
        <v>800000</v>
      </c>
      <c r="I5" s="19">
        <v>150000</v>
      </c>
      <c r="J5" s="20" t="s">
        <v>33</v>
      </c>
      <c r="K5" s="13">
        <v>58</v>
      </c>
      <c r="L5" s="21" t="s">
        <v>38</v>
      </c>
      <c r="M5" s="21" t="s">
        <v>39</v>
      </c>
      <c r="N5" s="16" t="s">
        <v>36</v>
      </c>
      <c r="O5" t="str">
        <f>IF(TRIM(J5)="","NULL",IFERROR(VLOOKUP(TRIM(J5),Lookup_PropertyType!$A:$B,2,FALSE()),"other"))</f>
        <v>apartment</v>
      </c>
      <c r="P5">
        <f t="shared" si="0"/>
        <v>0</v>
      </c>
    </row>
    <row r="6" spans="1:16" ht="15.75" customHeight="1" x14ac:dyDescent="0.35">
      <c r="A6" s="13">
        <v>5</v>
      </c>
      <c r="B6" s="14">
        <v>45858</v>
      </c>
      <c r="C6" s="14">
        <v>45915</v>
      </c>
      <c r="D6" s="16" t="s">
        <v>32</v>
      </c>
      <c r="E6" s="17">
        <v>9000</v>
      </c>
      <c r="F6" s="18"/>
      <c r="G6" s="18"/>
      <c r="H6" s="19">
        <v>600000</v>
      </c>
      <c r="I6" s="19">
        <v>140000</v>
      </c>
      <c r="J6" s="20" t="s">
        <v>37</v>
      </c>
      <c r="K6" s="13">
        <v>57</v>
      </c>
      <c r="L6" s="21" t="s">
        <v>41</v>
      </c>
      <c r="M6" s="21" t="s">
        <v>35</v>
      </c>
      <c r="N6" s="16" t="s">
        <v>36</v>
      </c>
      <c r="O6" t="str">
        <f>IF(TRIM(J6)="","NULL",IFERROR(VLOOKUP(TRIM(J6),Lookup_PropertyType!$A:$B,2,FALSE()),"other"))</f>
        <v>house</v>
      </c>
      <c r="P6">
        <f t="shared" si="0"/>
        <v>1</v>
      </c>
    </row>
    <row r="7" spans="1:16" ht="15.75" customHeight="1" x14ac:dyDescent="0.35">
      <c r="A7" s="13">
        <v>6</v>
      </c>
      <c r="B7" s="14">
        <v>45174.5</v>
      </c>
      <c r="C7" s="14">
        <v>45558</v>
      </c>
      <c r="D7" s="16" t="s">
        <v>32</v>
      </c>
      <c r="E7" s="17">
        <v>9500</v>
      </c>
      <c r="F7" s="18"/>
      <c r="G7" s="18"/>
      <c r="H7" s="19">
        <v>250000</v>
      </c>
      <c r="I7" s="19">
        <v>100000</v>
      </c>
      <c r="J7" s="20" t="s">
        <v>37</v>
      </c>
      <c r="K7" s="13">
        <v>58</v>
      </c>
      <c r="L7" s="21" t="s">
        <v>38</v>
      </c>
      <c r="M7" s="21" t="s">
        <v>39</v>
      </c>
      <c r="N7" s="16" t="s">
        <v>43</v>
      </c>
      <c r="O7" t="str">
        <f>IF(TRIM(J7)="","NULL",IFERROR(VLOOKUP(TRIM(J7),Lookup_PropertyType!$A:$B,2,FALSE()),"other"))</f>
        <v>house</v>
      </c>
      <c r="P7">
        <f t="shared" si="0"/>
        <v>1</v>
      </c>
    </row>
    <row r="8" spans="1:16" ht="15.75" customHeight="1" x14ac:dyDescent="0.35">
      <c r="A8" s="13">
        <v>7</v>
      </c>
      <c r="B8" s="14">
        <v>45506</v>
      </c>
      <c r="C8" s="15"/>
      <c r="D8" s="16" t="s">
        <v>44</v>
      </c>
      <c r="E8" s="17">
        <v>7500</v>
      </c>
      <c r="F8" s="18"/>
      <c r="G8" s="18"/>
      <c r="H8" s="19">
        <v>280000</v>
      </c>
      <c r="I8" s="19">
        <v>120000</v>
      </c>
      <c r="J8" s="20" t="s">
        <v>33</v>
      </c>
      <c r="K8" s="13">
        <v>39</v>
      </c>
      <c r="L8" s="21" t="s">
        <v>41</v>
      </c>
      <c r="M8" s="21" t="s">
        <v>39</v>
      </c>
      <c r="N8" s="16" t="s">
        <v>42</v>
      </c>
      <c r="O8" t="str">
        <f>IF(TRIM(J8)="","NULL",IFERROR(VLOOKUP(TRIM(J8),Lookup_PropertyType!$A:$B,2,FALSE()),"other"))</f>
        <v>apartment</v>
      </c>
      <c r="P8">
        <f t="shared" si="0"/>
        <v>0</v>
      </c>
    </row>
    <row r="9" spans="1:16" ht="15.75" customHeight="1" x14ac:dyDescent="0.35">
      <c r="A9" s="13">
        <v>8</v>
      </c>
      <c r="B9" s="14">
        <v>45526</v>
      </c>
      <c r="C9" s="15"/>
      <c r="D9" s="16" t="s">
        <v>32</v>
      </c>
      <c r="E9" s="17">
        <v>15000</v>
      </c>
      <c r="F9" s="18"/>
      <c r="G9" s="18"/>
      <c r="H9" s="19">
        <v>280000</v>
      </c>
      <c r="I9" s="19">
        <v>80000</v>
      </c>
      <c r="J9" s="20" t="s">
        <v>33</v>
      </c>
      <c r="K9" s="13">
        <v>59</v>
      </c>
      <c r="L9" s="21" t="s">
        <v>45</v>
      </c>
      <c r="M9" s="21" t="s">
        <v>39</v>
      </c>
      <c r="N9" s="16" t="s">
        <v>36</v>
      </c>
      <c r="O9" t="str">
        <f>IF(TRIM(J9)="","NULL",IFERROR(VLOOKUP(TRIM(J9),Lookup_PropertyType!$A:$B,2,FALSE()),"other"))</f>
        <v>apartment</v>
      </c>
      <c r="P9">
        <f t="shared" si="0"/>
        <v>0</v>
      </c>
    </row>
    <row r="10" spans="1:16" ht="15.75" customHeight="1" x14ac:dyDescent="0.35">
      <c r="A10" s="13">
        <v>9</v>
      </c>
      <c r="B10" s="14">
        <v>45535</v>
      </c>
      <c r="C10" s="14">
        <v>45565</v>
      </c>
      <c r="D10" s="16" t="s">
        <v>46</v>
      </c>
      <c r="E10" s="17">
        <v>3000</v>
      </c>
      <c r="F10" s="18"/>
      <c r="G10" s="18"/>
      <c r="H10" s="19">
        <v>250000</v>
      </c>
      <c r="I10" s="19">
        <v>50000</v>
      </c>
      <c r="J10" s="20" t="s">
        <v>37</v>
      </c>
      <c r="K10" s="13">
        <v>57</v>
      </c>
      <c r="L10" s="21" t="s">
        <v>38</v>
      </c>
      <c r="M10" s="21" t="s">
        <v>39</v>
      </c>
      <c r="N10" s="16" t="s">
        <v>43</v>
      </c>
      <c r="O10" t="str">
        <f>IF(TRIM(J10)="","NULL",IFERROR(VLOOKUP(TRIM(J10),Lookup_PropertyType!$A:$B,2,FALSE()),"other"))</f>
        <v>house</v>
      </c>
      <c r="P10">
        <f t="shared" si="0"/>
        <v>1</v>
      </c>
    </row>
    <row r="11" spans="1:16" ht="15.75" customHeight="1" x14ac:dyDescent="0.35">
      <c r="A11" s="13">
        <v>10</v>
      </c>
      <c r="B11" s="14">
        <v>45520</v>
      </c>
      <c r="C11" s="15"/>
      <c r="D11" s="16" t="s">
        <v>32</v>
      </c>
      <c r="E11" s="17">
        <v>25000</v>
      </c>
      <c r="F11" s="18"/>
      <c r="G11" s="18"/>
      <c r="H11" s="19">
        <v>900000</v>
      </c>
      <c r="I11" s="19">
        <v>400000</v>
      </c>
      <c r="J11" s="20" t="s">
        <v>47</v>
      </c>
      <c r="K11" s="13">
        <v>60</v>
      </c>
      <c r="L11" s="21" t="s">
        <v>38</v>
      </c>
      <c r="M11" s="21" t="s">
        <v>39</v>
      </c>
      <c r="N11" s="16" t="s">
        <v>36</v>
      </c>
      <c r="O11" t="str">
        <f>IF(TRIM(J11)="","NULL",IFERROR(VLOOKUP(TRIM(J11),Lookup_PropertyType!$A:$B,2,FALSE()),"other"))</f>
        <v>other</v>
      </c>
      <c r="P11">
        <f t="shared" si="0"/>
        <v>0</v>
      </c>
    </row>
    <row r="12" spans="1:16" ht="15.75" customHeight="1" x14ac:dyDescent="0.35">
      <c r="A12" s="13">
        <v>11</v>
      </c>
      <c r="B12" s="14">
        <v>45551</v>
      </c>
      <c r="C12" s="14">
        <v>45596</v>
      </c>
      <c r="D12" s="16" t="s">
        <v>32</v>
      </c>
      <c r="E12" s="17">
        <v>7000</v>
      </c>
      <c r="F12" s="18"/>
      <c r="G12" s="18"/>
      <c r="H12" s="19">
        <v>270000</v>
      </c>
      <c r="I12" s="19">
        <v>130000</v>
      </c>
      <c r="J12" s="20" t="s">
        <v>33</v>
      </c>
      <c r="K12" s="13">
        <v>45</v>
      </c>
      <c r="L12" s="21" t="s">
        <v>38</v>
      </c>
      <c r="M12" s="21" t="s">
        <v>39</v>
      </c>
      <c r="N12" s="16" t="s">
        <v>36</v>
      </c>
      <c r="O12" t="str">
        <f>IF(TRIM(J12)="","NULL",IFERROR(VLOOKUP(TRIM(J12),Lookup_PropertyType!$A:$B,2,FALSE()),"other"))</f>
        <v>apartment</v>
      </c>
      <c r="P12">
        <f t="shared" si="0"/>
        <v>1</v>
      </c>
    </row>
    <row r="13" spans="1:16" ht="15.75" customHeight="1" x14ac:dyDescent="0.35">
      <c r="A13" s="13">
        <v>12</v>
      </c>
      <c r="B13" s="14">
        <v>45509</v>
      </c>
      <c r="C13" s="15"/>
      <c r="D13" s="16" t="s">
        <v>32</v>
      </c>
      <c r="E13" s="17">
        <v>3000</v>
      </c>
      <c r="F13" s="18"/>
      <c r="G13" s="18"/>
      <c r="H13" s="19">
        <v>250000</v>
      </c>
      <c r="I13" s="19">
        <v>50000</v>
      </c>
      <c r="J13" s="20" t="s">
        <v>37</v>
      </c>
      <c r="K13" s="13">
        <v>26</v>
      </c>
      <c r="L13" s="21" t="s">
        <v>41</v>
      </c>
      <c r="M13" s="21" t="s">
        <v>39</v>
      </c>
      <c r="N13" s="16" t="s">
        <v>36</v>
      </c>
      <c r="O13" t="str">
        <f>IF(TRIM(J13)="","NULL",IFERROR(VLOOKUP(TRIM(J13),Lookup_PropertyType!$A:$B,2,FALSE()),"other"))</f>
        <v>house</v>
      </c>
      <c r="P13">
        <f t="shared" si="0"/>
        <v>0</v>
      </c>
    </row>
    <row r="14" spans="1:16" ht="15.75" customHeight="1" x14ac:dyDescent="0.35">
      <c r="A14" s="13">
        <v>13</v>
      </c>
      <c r="B14" s="14">
        <v>45491</v>
      </c>
      <c r="C14" s="14">
        <v>45474</v>
      </c>
      <c r="D14" s="16" t="s">
        <v>32</v>
      </c>
      <c r="E14" s="17">
        <v>10800</v>
      </c>
      <c r="F14" s="18"/>
      <c r="G14" s="18"/>
      <c r="H14" s="19">
        <v>250000</v>
      </c>
      <c r="I14" s="19">
        <v>130000</v>
      </c>
      <c r="J14" s="20" t="s">
        <v>33</v>
      </c>
      <c r="K14" s="13">
        <v>39</v>
      </c>
      <c r="L14" s="21" t="s">
        <v>38</v>
      </c>
      <c r="M14" s="21" t="s">
        <v>39</v>
      </c>
      <c r="N14" s="16" t="s">
        <v>42</v>
      </c>
      <c r="O14" t="str">
        <f>IF(TRIM(J14)="","NULL",IFERROR(VLOOKUP(TRIM(J14),Lookup_PropertyType!$A:$B,2,FALSE()),"other"))</f>
        <v>apartment</v>
      </c>
      <c r="P14">
        <f t="shared" si="0"/>
        <v>0</v>
      </c>
    </row>
    <row r="15" spans="1:16" ht="15.75" customHeight="1" x14ac:dyDescent="0.35">
      <c r="A15" s="13">
        <v>14</v>
      </c>
      <c r="B15" s="14">
        <v>45506</v>
      </c>
      <c r="C15" s="14">
        <v>45547</v>
      </c>
      <c r="D15" s="16" t="s">
        <v>32</v>
      </c>
      <c r="E15" s="17">
        <v>10000</v>
      </c>
      <c r="F15" s="18"/>
      <c r="G15" s="18"/>
      <c r="H15" s="19">
        <v>700000</v>
      </c>
      <c r="I15" s="19">
        <v>64000</v>
      </c>
      <c r="J15" s="20" t="s">
        <v>37</v>
      </c>
      <c r="K15" s="13">
        <v>53</v>
      </c>
      <c r="L15" s="21" t="s">
        <v>38</v>
      </c>
      <c r="M15" s="21" t="s">
        <v>48</v>
      </c>
      <c r="N15" s="16" t="s">
        <v>42</v>
      </c>
      <c r="O15" t="str">
        <f>IF(TRIM(J15)="","NULL",IFERROR(VLOOKUP(TRIM(J15),Lookup_PropertyType!$A:$B,2,FALSE()),"other"))</f>
        <v>house</v>
      </c>
      <c r="P15">
        <f t="shared" si="0"/>
        <v>1</v>
      </c>
    </row>
    <row r="16" spans="1:16" ht="15.75" customHeight="1" x14ac:dyDescent="0.35">
      <c r="A16" s="13">
        <v>15</v>
      </c>
      <c r="B16" s="14">
        <v>45649</v>
      </c>
      <c r="C16" s="15"/>
      <c r="D16" s="16" t="s">
        <v>32</v>
      </c>
      <c r="E16" s="17">
        <v>25000</v>
      </c>
      <c r="F16" s="18"/>
      <c r="G16" s="18"/>
      <c r="H16" s="19">
        <v>700000</v>
      </c>
      <c r="I16" s="19">
        <v>200000</v>
      </c>
      <c r="J16" s="20" t="s">
        <v>37</v>
      </c>
      <c r="K16" s="13">
        <v>53</v>
      </c>
      <c r="L16" s="21" t="s">
        <v>41</v>
      </c>
      <c r="M16" s="21" t="s">
        <v>39</v>
      </c>
      <c r="N16" s="16" t="s">
        <v>40</v>
      </c>
      <c r="O16" t="str">
        <f>IF(TRIM(J16)="","NULL",IFERROR(VLOOKUP(TRIM(J16),Lookup_PropertyType!$A:$B,2,FALSE()),"other"))</f>
        <v>house</v>
      </c>
      <c r="P16">
        <f t="shared" si="0"/>
        <v>0</v>
      </c>
    </row>
    <row r="17" spans="1:16" ht="15.75" customHeight="1" x14ac:dyDescent="0.35">
      <c r="A17" s="13">
        <v>16</v>
      </c>
      <c r="B17" s="14">
        <v>45537</v>
      </c>
      <c r="C17" s="15"/>
      <c r="D17" s="16" t="s">
        <v>49</v>
      </c>
      <c r="E17" s="17">
        <v>42000</v>
      </c>
      <c r="F17" s="18"/>
      <c r="G17" s="18"/>
      <c r="H17" s="19">
        <v>470000</v>
      </c>
      <c r="I17" s="19">
        <v>150000</v>
      </c>
      <c r="J17" s="20" t="s">
        <v>33</v>
      </c>
      <c r="K17" s="13">
        <v>46</v>
      </c>
      <c r="L17" s="21" t="s">
        <v>38</v>
      </c>
      <c r="M17" s="21" t="s">
        <v>39</v>
      </c>
      <c r="N17" s="16" t="s">
        <v>36</v>
      </c>
      <c r="O17" t="str">
        <f>IF(TRIM(J17)="","NULL",IFERROR(VLOOKUP(TRIM(J17),Lookup_PropertyType!$A:$B,2,FALSE()),"other"))</f>
        <v>apartment</v>
      </c>
      <c r="P17">
        <f t="shared" si="0"/>
        <v>0</v>
      </c>
    </row>
    <row r="18" spans="1:16" ht="15.75" customHeight="1" x14ac:dyDescent="0.35">
      <c r="A18" s="13">
        <v>17</v>
      </c>
      <c r="B18" s="14">
        <v>45565</v>
      </c>
      <c r="C18" s="14">
        <v>45529</v>
      </c>
      <c r="D18" s="16" t="s">
        <v>32</v>
      </c>
      <c r="E18" s="17">
        <v>6000</v>
      </c>
      <c r="F18" s="18"/>
      <c r="G18" s="18"/>
      <c r="H18" s="19">
        <v>300000</v>
      </c>
      <c r="I18" s="19">
        <v>50000</v>
      </c>
      <c r="J18" s="20" t="s">
        <v>37</v>
      </c>
      <c r="K18" s="13">
        <v>60</v>
      </c>
      <c r="L18" s="21" t="s">
        <v>38</v>
      </c>
      <c r="M18" s="21" t="s">
        <v>39</v>
      </c>
      <c r="N18" s="16" t="s">
        <v>50</v>
      </c>
      <c r="O18" t="str">
        <f>IF(TRIM(J18)="","NULL",IFERROR(VLOOKUP(TRIM(J18),Lookup_PropertyType!$A:$B,2,FALSE()),"other"))</f>
        <v>house</v>
      </c>
      <c r="P18">
        <f t="shared" si="0"/>
        <v>0</v>
      </c>
    </row>
    <row r="19" spans="1:16" ht="15.75" customHeight="1" x14ac:dyDescent="0.35">
      <c r="A19" s="13">
        <v>18</v>
      </c>
      <c r="B19" s="14">
        <v>45516</v>
      </c>
      <c r="C19" s="14">
        <v>45599</v>
      </c>
      <c r="D19" s="16" t="s">
        <v>32</v>
      </c>
      <c r="E19" s="17">
        <v>28000</v>
      </c>
      <c r="F19" s="18"/>
      <c r="G19" s="18"/>
      <c r="H19" s="19">
        <v>600000</v>
      </c>
      <c r="I19" s="19">
        <v>230000</v>
      </c>
      <c r="J19" s="20" t="s">
        <v>33</v>
      </c>
      <c r="K19" s="13">
        <v>55</v>
      </c>
      <c r="L19" s="21" t="s">
        <v>38</v>
      </c>
      <c r="M19" s="21" t="s">
        <v>39</v>
      </c>
      <c r="N19" s="16" t="s">
        <v>42</v>
      </c>
      <c r="O19" t="str">
        <f>IF(TRIM(J19)="","NULL",IFERROR(VLOOKUP(TRIM(J19),Lookup_PropertyType!$A:$B,2,FALSE()),"other"))</f>
        <v>apartment</v>
      </c>
      <c r="P19">
        <f t="shared" si="0"/>
        <v>1</v>
      </c>
    </row>
    <row r="20" spans="1:16" ht="15.75" customHeight="1" x14ac:dyDescent="0.35">
      <c r="A20" s="13">
        <v>19</v>
      </c>
      <c r="B20" s="14">
        <v>45544</v>
      </c>
      <c r="C20" s="14">
        <v>45584</v>
      </c>
      <c r="D20" s="16" t="s">
        <v>32</v>
      </c>
      <c r="E20" s="17">
        <v>8500</v>
      </c>
      <c r="F20" s="18"/>
      <c r="G20" s="18"/>
      <c r="H20" s="19">
        <v>600000</v>
      </c>
      <c r="I20" s="19">
        <v>50000</v>
      </c>
      <c r="J20" s="20" t="s">
        <v>33</v>
      </c>
      <c r="K20" s="13">
        <v>43</v>
      </c>
      <c r="L20" s="21"/>
      <c r="M20" s="21" t="s">
        <v>35</v>
      </c>
      <c r="N20" s="16" t="s">
        <v>42</v>
      </c>
      <c r="O20" t="str">
        <f>IF(TRIM(J20)="","NULL",IFERROR(VLOOKUP(TRIM(J20),Lookup_PropertyType!$A:$B,2,FALSE()),"other"))</f>
        <v>apartment</v>
      </c>
      <c r="P20">
        <f t="shared" si="0"/>
        <v>1</v>
      </c>
    </row>
    <row r="21" spans="1:16" ht="15.75" customHeight="1" x14ac:dyDescent="0.35">
      <c r="A21" s="13">
        <v>20</v>
      </c>
      <c r="B21" s="14">
        <v>45530</v>
      </c>
      <c r="C21" s="14">
        <v>45585</v>
      </c>
      <c r="D21" s="16" t="s">
        <v>32</v>
      </c>
      <c r="E21" s="17">
        <v>9000</v>
      </c>
      <c r="F21" s="18"/>
      <c r="G21" s="18"/>
      <c r="H21" s="19">
        <v>450000</v>
      </c>
      <c r="I21" s="19">
        <v>150000</v>
      </c>
      <c r="J21" s="20"/>
      <c r="K21" s="13">
        <v>55</v>
      </c>
      <c r="L21" s="21" t="s">
        <v>38</v>
      </c>
      <c r="M21" s="21" t="s">
        <v>39</v>
      </c>
      <c r="N21" s="16" t="s">
        <v>51</v>
      </c>
      <c r="O21" t="str">
        <f>IF(TRIM(J21)="","NULL",IFERROR(VLOOKUP(TRIM(J21),Lookup_PropertyType!$A:$B,2,FALSE()),"other"))</f>
        <v>NULL</v>
      </c>
      <c r="P21">
        <f t="shared" si="0"/>
        <v>1</v>
      </c>
    </row>
    <row r="22" spans="1:16" ht="15.75" customHeight="1" x14ac:dyDescent="0.35">
      <c r="A22" s="13">
        <v>21</v>
      </c>
      <c r="B22" s="14">
        <v>45507</v>
      </c>
      <c r="C22" s="14">
        <v>45582</v>
      </c>
      <c r="D22" s="16" t="s">
        <v>49</v>
      </c>
      <c r="E22" s="17">
        <v>20000</v>
      </c>
      <c r="F22" s="18"/>
      <c r="G22" s="18"/>
      <c r="H22" s="19">
        <v>650000</v>
      </c>
      <c r="I22" s="19">
        <v>350000</v>
      </c>
      <c r="J22" s="20" t="s">
        <v>37</v>
      </c>
      <c r="K22" s="13">
        <v>44</v>
      </c>
      <c r="L22" s="21" t="s">
        <v>34</v>
      </c>
      <c r="M22" s="21" t="s">
        <v>39</v>
      </c>
      <c r="N22" s="16" t="s">
        <v>36</v>
      </c>
      <c r="O22" t="str">
        <f>IF(TRIM(J22)="","NULL",IFERROR(VLOOKUP(TRIM(J22),Lookup_PropertyType!$A:$B,2,FALSE()),"other"))</f>
        <v>house</v>
      </c>
      <c r="P22">
        <f t="shared" si="0"/>
        <v>1</v>
      </c>
    </row>
    <row r="23" spans="1:16" ht="15.75" customHeight="1" x14ac:dyDescent="0.35">
      <c r="A23" s="13">
        <v>22</v>
      </c>
      <c r="B23" s="14">
        <v>45558</v>
      </c>
      <c r="C23" s="14">
        <v>45610</v>
      </c>
      <c r="D23" s="16" t="s">
        <v>52</v>
      </c>
      <c r="E23" s="17">
        <v>50000</v>
      </c>
      <c r="F23" s="18"/>
      <c r="G23" s="18"/>
      <c r="H23" s="19">
        <v>1300000</v>
      </c>
      <c r="I23" s="19">
        <v>700000</v>
      </c>
      <c r="J23" s="20" t="s">
        <v>33</v>
      </c>
      <c r="K23" s="13">
        <v>49</v>
      </c>
      <c r="L23" s="21" t="s">
        <v>34</v>
      </c>
      <c r="M23" s="21" t="s">
        <v>48</v>
      </c>
      <c r="N23" s="16" t="s">
        <v>50</v>
      </c>
      <c r="O23" t="str">
        <f>IF(TRIM(J23)="","NULL",IFERROR(VLOOKUP(TRIM(J23),Lookup_PropertyType!$A:$B,2,FALSE()),"other"))</f>
        <v>apartment</v>
      </c>
      <c r="P23">
        <f t="shared" si="0"/>
        <v>1</v>
      </c>
    </row>
    <row r="24" spans="1:16" ht="15.75" customHeight="1" x14ac:dyDescent="0.35">
      <c r="A24" s="13">
        <v>23</v>
      </c>
      <c r="B24" s="14">
        <v>45523</v>
      </c>
      <c r="C24" s="14">
        <v>45596</v>
      </c>
      <c r="D24" s="16" t="s">
        <v>32</v>
      </c>
      <c r="E24" s="17">
        <v>5000</v>
      </c>
      <c r="F24" s="18"/>
      <c r="G24" s="18"/>
      <c r="H24" s="19">
        <v>500000</v>
      </c>
      <c r="I24" s="19">
        <v>40000</v>
      </c>
      <c r="J24" s="20" t="s">
        <v>33</v>
      </c>
      <c r="K24" s="13">
        <v>56</v>
      </c>
      <c r="L24" s="21" t="s">
        <v>34</v>
      </c>
      <c r="M24" s="21" t="s">
        <v>39</v>
      </c>
      <c r="N24" s="16" t="s">
        <v>36</v>
      </c>
      <c r="O24" t="str">
        <f>IF(TRIM(J24)="","NULL",IFERROR(VLOOKUP(TRIM(J24),Lookup_PropertyType!$A:$B,2,FALSE()),"other"))</f>
        <v>apartment</v>
      </c>
      <c r="P24">
        <f t="shared" si="0"/>
        <v>1</v>
      </c>
    </row>
    <row r="25" spans="1:16" ht="15.75" customHeight="1" x14ac:dyDescent="0.35">
      <c r="A25" s="13">
        <v>24</v>
      </c>
      <c r="B25" s="14">
        <v>45583</v>
      </c>
      <c r="C25" s="14">
        <v>45647</v>
      </c>
      <c r="D25" s="16" t="s">
        <v>32</v>
      </c>
      <c r="E25" s="17">
        <v>50000</v>
      </c>
      <c r="F25" s="18"/>
      <c r="G25" s="18"/>
      <c r="H25" s="19">
        <v>800000</v>
      </c>
      <c r="I25" s="19">
        <v>400000</v>
      </c>
      <c r="J25" s="20" t="s">
        <v>37</v>
      </c>
      <c r="K25" s="13">
        <v>48</v>
      </c>
      <c r="L25" s="21" t="s">
        <v>38</v>
      </c>
      <c r="M25" s="21" t="s">
        <v>39</v>
      </c>
      <c r="N25" s="16" t="s">
        <v>36</v>
      </c>
      <c r="O25" t="str">
        <f>IF(TRIM(J25)="","NULL",IFERROR(VLOOKUP(TRIM(J25),Lookup_PropertyType!$A:$B,2,FALSE()),"other"))</f>
        <v>house</v>
      </c>
      <c r="P25">
        <f t="shared" si="0"/>
        <v>1</v>
      </c>
    </row>
    <row r="26" spans="1:16" ht="15.75" customHeight="1" x14ac:dyDescent="0.35">
      <c r="A26" s="13">
        <v>25</v>
      </c>
      <c r="B26" s="14">
        <v>45516</v>
      </c>
      <c r="C26" s="15"/>
      <c r="D26" s="16" t="s">
        <v>32</v>
      </c>
      <c r="E26" s="17">
        <v>12000</v>
      </c>
      <c r="F26" s="18"/>
      <c r="G26" s="18"/>
      <c r="H26" s="19">
        <v>500000</v>
      </c>
      <c r="I26" s="19">
        <v>150000</v>
      </c>
      <c r="J26" s="20" t="s">
        <v>37</v>
      </c>
      <c r="K26" s="13">
        <v>51</v>
      </c>
      <c r="L26" s="21" t="s">
        <v>38</v>
      </c>
      <c r="M26" s="21" t="s">
        <v>48</v>
      </c>
      <c r="N26" s="16" t="s">
        <v>50</v>
      </c>
      <c r="O26" t="str">
        <f>IF(TRIM(J26)="","NULL",IFERROR(VLOOKUP(TRIM(J26),Lookup_PropertyType!$A:$B,2,FALSE()),"other"))</f>
        <v>house</v>
      </c>
      <c r="P26">
        <f t="shared" si="0"/>
        <v>0</v>
      </c>
    </row>
    <row r="27" spans="1:16" ht="15.75" customHeight="1" x14ac:dyDescent="0.35">
      <c r="A27" s="13">
        <v>26</v>
      </c>
      <c r="B27" s="14">
        <v>45521</v>
      </c>
      <c r="C27" s="14">
        <v>45575</v>
      </c>
      <c r="D27" s="16" t="s">
        <v>32</v>
      </c>
      <c r="E27" s="17">
        <v>17000</v>
      </c>
      <c r="F27" s="18"/>
      <c r="G27" s="18"/>
      <c r="H27" s="19">
        <v>800000</v>
      </c>
      <c r="I27" s="19">
        <v>175000</v>
      </c>
      <c r="J27" s="20" t="s">
        <v>33</v>
      </c>
      <c r="K27" s="13">
        <v>51</v>
      </c>
      <c r="L27" s="21" t="s">
        <v>38</v>
      </c>
      <c r="M27" s="21" t="s">
        <v>39</v>
      </c>
      <c r="N27" s="16" t="s">
        <v>42</v>
      </c>
      <c r="O27" t="str">
        <f>IF(TRIM(J27)="","NULL",IFERROR(VLOOKUP(TRIM(J27),Lookup_PropertyType!$A:$B,2,FALSE()),"other"))</f>
        <v>apartment</v>
      </c>
      <c r="P27">
        <f t="shared" si="0"/>
        <v>1</v>
      </c>
    </row>
    <row r="28" spans="1:16" ht="15.75" customHeight="1" x14ac:dyDescent="0.35">
      <c r="A28" s="13">
        <v>27</v>
      </c>
      <c r="B28" s="14">
        <v>45521</v>
      </c>
      <c r="C28" s="14">
        <v>45655</v>
      </c>
      <c r="D28" s="16" t="s">
        <v>44</v>
      </c>
      <c r="E28" s="17">
        <v>16000</v>
      </c>
      <c r="F28" s="18"/>
      <c r="G28" s="18"/>
      <c r="H28" s="19">
        <v>400000</v>
      </c>
      <c r="I28" s="19">
        <v>70000</v>
      </c>
      <c r="J28" s="20" t="s">
        <v>33</v>
      </c>
      <c r="K28" s="13">
        <v>48</v>
      </c>
      <c r="L28" s="21" t="s">
        <v>38</v>
      </c>
      <c r="M28" s="21" t="s">
        <v>39</v>
      </c>
      <c r="N28" s="16" t="s">
        <v>42</v>
      </c>
      <c r="O28" t="str">
        <f>IF(TRIM(J28)="","NULL",IFERROR(VLOOKUP(TRIM(J28),Lookup_PropertyType!$A:$B,2,FALSE()),"other"))</f>
        <v>apartment</v>
      </c>
      <c r="P28">
        <f t="shared" si="0"/>
        <v>1</v>
      </c>
    </row>
    <row r="29" spans="1:16" ht="15.75" customHeight="1" x14ac:dyDescent="0.35">
      <c r="A29" s="13">
        <v>28</v>
      </c>
      <c r="B29" s="14">
        <v>45547</v>
      </c>
      <c r="C29" s="15"/>
      <c r="D29" s="16" t="s">
        <v>32</v>
      </c>
      <c r="E29" s="17">
        <v>12000</v>
      </c>
      <c r="F29" s="18"/>
      <c r="G29" s="18"/>
      <c r="H29" s="19">
        <v>350000</v>
      </c>
      <c r="I29" s="19">
        <v>100000</v>
      </c>
      <c r="J29" s="20" t="s">
        <v>53</v>
      </c>
      <c r="K29" s="13">
        <v>62</v>
      </c>
      <c r="L29" s="21" t="s">
        <v>45</v>
      </c>
      <c r="M29" s="21" t="s">
        <v>39</v>
      </c>
      <c r="N29" s="16" t="s">
        <v>36</v>
      </c>
      <c r="O29" t="str">
        <f>IF(TRIM(J29)="","NULL",IFERROR(VLOOKUP(TRIM(J29),Lookup_PropertyType!$A:$B,2,FALSE()),"other"))</f>
        <v>other</v>
      </c>
      <c r="P29">
        <f t="shared" si="0"/>
        <v>0</v>
      </c>
    </row>
    <row r="30" spans="1:16" ht="15.75" customHeight="1" x14ac:dyDescent="0.35">
      <c r="A30" s="13">
        <v>29</v>
      </c>
      <c r="B30" s="14">
        <v>45536</v>
      </c>
      <c r="C30" s="15"/>
      <c r="D30" s="16" t="s">
        <v>32</v>
      </c>
      <c r="E30" s="17">
        <v>5708</v>
      </c>
      <c r="F30" s="18"/>
      <c r="G30" s="18"/>
      <c r="H30" s="19">
        <v>400000</v>
      </c>
      <c r="I30" s="19">
        <v>60000</v>
      </c>
      <c r="J30" s="20" t="s">
        <v>37</v>
      </c>
      <c r="K30" s="13">
        <v>49</v>
      </c>
      <c r="L30" s="21" t="s">
        <v>38</v>
      </c>
      <c r="M30" s="21" t="s">
        <v>39</v>
      </c>
      <c r="N30" s="16" t="s">
        <v>42</v>
      </c>
      <c r="O30" t="str">
        <f>IF(TRIM(J30)="","NULL",IFERROR(VLOOKUP(TRIM(J30),Lookup_PropertyType!$A:$B,2,FALSE()),"other"))</f>
        <v>house</v>
      </c>
      <c r="P30">
        <f t="shared" si="0"/>
        <v>0</v>
      </c>
    </row>
    <row r="31" spans="1:16" ht="15.75" customHeight="1" x14ac:dyDescent="0.35">
      <c r="A31" s="13">
        <v>30</v>
      </c>
      <c r="B31" s="14">
        <v>45527.959837962997</v>
      </c>
      <c r="C31" s="15"/>
      <c r="D31" s="16" t="s">
        <v>32</v>
      </c>
      <c r="E31" s="17">
        <v>6500</v>
      </c>
      <c r="F31" s="18"/>
      <c r="G31" s="18"/>
      <c r="H31" s="19">
        <v>230000</v>
      </c>
      <c r="I31" s="19">
        <v>110000</v>
      </c>
      <c r="J31" s="20" t="s">
        <v>33</v>
      </c>
      <c r="K31" s="13">
        <v>46</v>
      </c>
      <c r="L31" s="21" t="s">
        <v>38</v>
      </c>
      <c r="M31" s="21" t="s">
        <v>39</v>
      </c>
      <c r="N31" s="16" t="s">
        <v>36</v>
      </c>
      <c r="O31" t="str">
        <f>IF(TRIM(J31)="","NULL",IFERROR(VLOOKUP(TRIM(J31),Lookup_PropertyType!$A:$B,2,FALSE()),"other"))</f>
        <v>apartment</v>
      </c>
      <c r="P31">
        <f t="shared" si="0"/>
        <v>0</v>
      </c>
    </row>
    <row r="32" spans="1:16" ht="15.75" customHeight="1" x14ac:dyDescent="0.35">
      <c r="A32" s="13">
        <v>31</v>
      </c>
      <c r="B32" s="14">
        <v>45551</v>
      </c>
      <c r="C32" s="14">
        <v>45612</v>
      </c>
      <c r="D32" s="16" t="s">
        <v>32</v>
      </c>
      <c r="E32" s="17">
        <v>60000</v>
      </c>
      <c r="F32" s="18"/>
      <c r="G32" s="18"/>
      <c r="H32" s="19">
        <v>550000</v>
      </c>
      <c r="I32" s="19">
        <v>200000</v>
      </c>
      <c r="J32" s="20" t="s">
        <v>53</v>
      </c>
      <c r="K32" s="13">
        <v>50</v>
      </c>
      <c r="L32" s="21" t="s">
        <v>38</v>
      </c>
      <c r="M32" s="21" t="s">
        <v>35</v>
      </c>
      <c r="N32" s="16" t="s">
        <v>36</v>
      </c>
      <c r="O32" t="str">
        <f>IF(TRIM(J32)="","NULL",IFERROR(VLOOKUP(TRIM(J32),Lookup_PropertyType!$A:$B,2,FALSE()),"other"))</f>
        <v>other</v>
      </c>
      <c r="P32">
        <f t="shared" si="0"/>
        <v>1</v>
      </c>
    </row>
    <row r="33" spans="1:16" ht="15.75" customHeight="1" x14ac:dyDescent="0.35">
      <c r="A33" s="13">
        <v>32</v>
      </c>
      <c r="B33" s="14">
        <v>45547</v>
      </c>
      <c r="C33" s="15"/>
      <c r="D33" s="16" t="s">
        <v>44</v>
      </c>
      <c r="E33" s="17">
        <v>12000</v>
      </c>
      <c r="F33" s="18"/>
      <c r="G33" s="18"/>
      <c r="H33" s="19">
        <v>1300000</v>
      </c>
      <c r="I33" s="19">
        <v>140000</v>
      </c>
      <c r="J33" s="20" t="s">
        <v>33</v>
      </c>
      <c r="K33" s="13">
        <v>57</v>
      </c>
      <c r="L33" s="21" t="s">
        <v>41</v>
      </c>
      <c r="M33" s="21" t="s">
        <v>54</v>
      </c>
      <c r="N33" s="16" t="s">
        <v>36</v>
      </c>
      <c r="O33" t="str">
        <f>IF(TRIM(J33)="","NULL",IFERROR(VLOOKUP(TRIM(J33),Lookup_PropertyType!$A:$B,2,FALSE()),"other"))</f>
        <v>apartment</v>
      </c>
      <c r="P33">
        <f t="shared" si="0"/>
        <v>0</v>
      </c>
    </row>
    <row r="34" spans="1:16" ht="15.75" customHeight="1" x14ac:dyDescent="0.35">
      <c r="A34" s="13">
        <v>33</v>
      </c>
      <c r="B34" s="14">
        <v>45528</v>
      </c>
      <c r="C34" s="14">
        <v>45536</v>
      </c>
      <c r="D34" s="16" t="s">
        <v>32</v>
      </c>
      <c r="E34" s="17">
        <v>16000</v>
      </c>
      <c r="F34" s="18"/>
      <c r="G34" s="18"/>
      <c r="H34" s="19">
        <v>1090000</v>
      </c>
      <c r="I34" s="19">
        <v>200000</v>
      </c>
      <c r="J34" s="20" t="s">
        <v>33</v>
      </c>
      <c r="K34" s="13">
        <v>53</v>
      </c>
      <c r="L34" s="21" t="s">
        <v>41</v>
      </c>
      <c r="M34" s="21" t="s">
        <v>39</v>
      </c>
      <c r="N34" s="16" t="s">
        <v>36</v>
      </c>
      <c r="O34" t="str">
        <f>IF(TRIM(J34)="","NULL",IFERROR(VLOOKUP(TRIM(J34),Lookup_PropertyType!$A:$B,2,FALSE()),"other"))</f>
        <v>apartment</v>
      </c>
      <c r="P34">
        <f t="shared" si="0"/>
        <v>1</v>
      </c>
    </row>
    <row r="35" spans="1:16" ht="15.75" customHeight="1" x14ac:dyDescent="0.35">
      <c r="A35" s="13">
        <v>34</v>
      </c>
      <c r="B35" s="14">
        <v>45536</v>
      </c>
      <c r="C35" s="14">
        <v>45572</v>
      </c>
      <c r="D35" s="16" t="s">
        <v>32</v>
      </c>
      <c r="E35" s="17">
        <v>14000</v>
      </c>
      <c r="F35" s="18"/>
      <c r="G35" s="18"/>
      <c r="H35" s="19">
        <v>750000</v>
      </c>
      <c r="I35" s="19">
        <v>100000</v>
      </c>
      <c r="J35" s="20" t="s">
        <v>33</v>
      </c>
      <c r="K35" s="13">
        <v>43</v>
      </c>
      <c r="L35" s="21" t="s">
        <v>34</v>
      </c>
      <c r="M35" s="21" t="s">
        <v>39</v>
      </c>
      <c r="N35" s="16" t="s">
        <v>42</v>
      </c>
      <c r="O35" t="str">
        <f>IF(TRIM(J35)="","NULL",IFERROR(VLOOKUP(TRIM(J35),Lookup_PropertyType!$A:$B,2,FALSE()),"other"))</f>
        <v>apartment</v>
      </c>
      <c r="P35">
        <f t="shared" si="0"/>
        <v>1</v>
      </c>
    </row>
    <row r="36" spans="1:16" ht="15.75" customHeight="1" x14ac:dyDescent="0.35">
      <c r="A36" s="13">
        <v>35</v>
      </c>
      <c r="B36" s="14">
        <v>45724</v>
      </c>
      <c r="C36" s="14">
        <v>45766</v>
      </c>
      <c r="D36" s="16" t="s">
        <v>55</v>
      </c>
      <c r="E36" s="17">
        <v>32000</v>
      </c>
      <c r="F36" s="18"/>
      <c r="G36" s="18"/>
      <c r="H36" s="19">
        <v>800000</v>
      </c>
      <c r="I36" s="19">
        <v>350000</v>
      </c>
      <c r="J36" s="20" t="s">
        <v>37</v>
      </c>
      <c r="K36" s="13">
        <v>57</v>
      </c>
      <c r="L36" s="21" t="s">
        <v>38</v>
      </c>
      <c r="M36" s="21" t="s">
        <v>39</v>
      </c>
      <c r="N36" s="16" t="s">
        <v>43</v>
      </c>
      <c r="O36" t="str">
        <f>IF(TRIM(J36)="","NULL",IFERROR(VLOOKUP(TRIM(J36),Lookup_PropertyType!$A:$B,2,FALSE()),"other"))</f>
        <v>house</v>
      </c>
      <c r="P36">
        <f t="shared" si="0"/>
        <v>1</v>
      </c>
    </row>
    <row r="37" spans="1:16" ht="15.75" customHeight="1" x14ac:dyDescent="0.35">
      <c r="A37" s="13">
        <v>36</v>
      </c>
      <c r="B37" s="14">
        <v>45864</v>
      </c>
      <c r="C37" s="14">
        <v>45904</v>
      </c>
      <c r="D37" s="16" t="s">
        <v>32</v>
      </c>
      <c r="E37" s="17">
        <v>15000</v>
      </c>
      <c r="F37" s="18"/>
      <c r="G37" s="18"/>
      <c r="H37" s="19">
        <v>395000</v>
      </c>
      <c r="I37" s="19">
        <v>200000</v>
      </c>
      <c r="J37" s="20" t="s">
        <v>33</v>
      </c>
      <c r="K37" s="13">
        <v>48</v>
      </c>
      <c r="L37" s="21" t="s">
        <v>45</v>
      </c>
      <c r="M37" s="21" t="s">
        <v>39</v>
      </c>
      <c r="N37" s="16" t="s">
        <v>36</v>
      </c>
      <c r="O37" t="str">
        <f>IF(TRIM(J37)="","NULL",IFERROR(VLOOKUP(TRIM(J37),Lookup_PropertyType!$A:$B,2,FALSE()),"other"))</f>
        <v>apartment</v>
      </c>
      <c r="P37">
        <f t="shared" si="0"/>
        <v>1</v>
      </c>
    </row>
    <row r="38" spans="1:16" ht="15.75" customHeight="1" x14ac:dyDescent="0.35">
      <c r="A38" s="13">
        <v>37</v>
      </c>
      <c r="B38" s="14">
        <v>45562</v>
      </c>
      <c r="C38" s="15"/>
      <c r="D38" s="16" t="s">
        <v>32</v>
      </c>
      <c r="E38" s="17">
        <v>7000</v>
      </c>
      <c r="F38" s="18"/>
      <c r="G38" s="18"/>
      <c r="H38" s="19">
        <v>450000</v>
      </c>
      <c r="I38" s="19">
        <v>130000</v>
      </c>
      <c r="J38" s="20" t="s">
        <v>37</v>
      </c>
      <c r="K38" s="13">
        <v>63</v>
      </c>
      <c r="L38" s="21" t="s">
        <v>38</v>
      </c>
      <c r="M38" s="21" t="s">
        <v>39</v>
      </c>
      <c r="N38" s="16" t="s">
        <v>40</v>
      </c>
      <c r="O38" t="str">
        <f>IF(TRIM(J38)="","NULL",IFERROR(VLOOKUP(TRIM(J38),Lookup_PropertyType!$A:$B,2,FALSE()),"other"))</f>
        <v>house</v>
      </c>
      <c r="P38">
        <f t="shared" si="0"/>
        <v>0</v>
      </c>
    </row>
    <row r="39" spans="1:16" ht="15.75" customHeight="1" x14ac:dyDescent="0.35">
      <c r="A39" s="13">
        <v>38</v>
      </c>
      <c r="B39" s="14">
        <v>45519</v>
      </c>
      <c r="C39" s="14">
        <v>45726</v>
      </c>
      <c r="D39" s="16" t="s">
        <v>32</v>
      </c>
      <c r="E39" s="17">
        <v>65000</v>
      </c>
      <c r="F39" s="18"/>
      <c r="G39" s="18"/>
      <c r="H39" s="19">
        <v>700000</v>
      </c>
      <c r="I39" s="19">
        <v>120000</v>
      </c>
      <c r="J39" s="20"/>
      <c r="K39" s="13">
        <v>40</v>
      </c>
      <c r="L39" s="21" t="s">
        <v>38</v>
      </c>
      <c r="M39" s="21" t="s">
        <v>39</v>
      </c>
      <c r="N39" s="16" t="s">
        <v>36</v>
      </c>
      <c r="O39" t="str">
        <f>IF(TRIM(J39)="","NULL",IFERROR(VLOOKUP(TRIM(J39),Lookup_PropertyType!$A:$B,2,FALSE()),"other"))</f>
        <v>NULL</v>
      </c>
      <c r="P39">
        <f t="shared" si="0"/>
        <v>1</v>
      </c>
    </row>
    <row r="40" spans="1:16" ht="15.75" customHeight="1" x14ac:dyDescent="0.35">
      <c r="A40" s="13">
        <v>39</v>
      </c>
      <c r="B40" s="14">
        <v>45572</v>
      </c>
      <c r="C40" s="14">
        <v>45681</v>
      </c>
      <c r="D40" s="16" t="s">
        <v>32</v>
      </c>
      <c r="E40" s="17">
        <v>5000</v>
      </c>
      <c r="F40" s="18"/>
      <c r="G40" s="18"/>
      <c r="H40" s="19">
        <v>250000</v>
      </c>
      <c r="I40" s="19">
        <v>30000</v>
      </c>
      <c r="J40" s="20" t="s">
        <v>33</v>
      </c>
      <c r="K40" s="13">
        <v>57</v>
      </c>
      <c r="L40" s="21" t="s">
        <v>41</v>
      </c>
      <c r="M40" s="21" t="s">
        <v>39</v>
      </c>
      <c r="N40" s="16" t="s">
        <v>36</v>
      </c>
      <c r="O40" t="str">
        <f>IF(TRIM(J40)="","NULL",IFERROR(VLOOKUP(TRIM(J40),Lookup_PropertyType!$A:$B,2,FALSE()),"other"))</f>
        <v>apartment</v>
      </c>
      <c r="P40">
        <f t="shared" si="0"/>
        <v>1</v>
      </c>
    </row>
    <row r="41" spans="1:16" ht="15.75" customHeight="1" x14ac:dyDescent="0.35">
      <c r="A41" s="13">
        <v>40</v>
      </c>
      <c r="B41" s="14">
        <v>45523</v>
      </c>
      <c r="C41" s="14">
        <v>45718</v>
      </c>
      <c r="D41" s="16" t="s">
        <v>32</v>
      </c>
      <c r="E41" s="17">
        <v>6000</v>
      </c>
      <c r="F41" s="18"/>
      <c r="G41" s="18"/>
      <c r="H41" s="19">
        <v>300000</v>
      </c>
      <c r="I41" s="19">
        <v>30000</v>
      </c>
      <c r="J41" s="20" t="s">
        <v>37</v>
      </c>
      <c r="K41" s="13">
        <v>47</v>
      </c>
      <c r="L41" s="21" t="s">
        <v>38</v>
      </c>
      <c r="M41" s="21" t="s">
        <v>48</v>
      </c>
      <c r="N41" s="16" t="s">
        <v>42</v>
      </c>
      <c r="O41" t="str">
        <f>IF(TRIM(J41)="","NULL",IFERROR(VLOOKUP(TRIM(J41),Lookup_PropertyType!$A:$B,2,FALSE()),"other"))</f>
        <v>house</v>
      </c>
      <c r="P41">
        <f t="shared" si="0"/>
        <v>1</v>
      </c>
    </row>
    <row r="42" spans="1:16" ht="15.75" customHeight="1" x14ac:dyDescent="0.35">
      <c r="A42" s="13">
        <v>41</v>
      </c>
      <c r="B42" s="14">
        <v>45534</v>
      </c>
      <c r="C42" s="15"/>
      <c r="D42" s="16" t="s">
        <v>32</v>
      </c>
      <c r="E42" s="17">
        <v>19750</v>
      </c>
      <c r="F42" s="18"/>
      <c r="G42" s="18"/>
      <c r="H42" s="19">
        <v>350000</v>
      </c>
      <c r="I42" s="19">
        <v>155000</v>
      </c>
      <c r="J42" s="20" t="s">
        <v>33</v>
      </c>
      <c r="K42" s="13">
        <v>49</v>
      </c>
      <c r="L42" s="21" t="s">
        <v>34</v>
      </c>
      <c r="M42" s="21" t="s">
        <v>39</v>
      </c>
      <c r="N42" s="16" t="s">
        <v>42</v>
      </c>
      <c r="O42" t="str">
        <f>IF(TRIM(J42)="","NULL",IFERROR(VLOOKUP(TRIM(J42),Lookup_PropertyType!$A:$B,2,FALSE()),"other"))</f>
        <v>apartment</v>
      </c>
      <c r="P42">
        <f t="shared" si="0"/>
        <v>0</v>
      </c>
    </row>
    <row r="43" spans="1:16" ht="15.75" customHeight="1" x14ac:dyDescent="0.35">
      <c r="A43" s="13">
        <v>42</v>
      </c>
      <c r="B43" s="14">
        <v>45729</v>
      </c>
      <c r="C43" s="14">
        <v>45827</v>
      </c>
      <c r="D43" s="16" t="s">
        <v>56</v>
      </c>
      <c r="E43" s="17">
        <v>12000</v>
      </c>
      <c r="F43" s="18"/>
      <c r="G43" s="18"/>
      <c r="H43" s="19">
        <v>400000</v>
      </c>
      <c r="I43" s="19">
        <v>200000</v>
      </c>
      <c r="J43" s="20" t="s">
        <v>33</v>
      </c>
      <c r="K43" s="13">
        <v>38</v>
      </c>
      <c r="L43" s="21" t="s">
        <v>38</v>
      </c>
      <c r="M43" s="21" t="s">
        <v>39</v>
      </c>
      <c r="N43" s="16" t="s">
        <v>51</v>
      </c>
      <c r="O43" t="str">
        <f>IF(TRIM(J43)="","NULL",IFERROR(VLOOKUP(TRIM(J43),Lookup_PropertyType!$A:$B,2,FALSE()),"other"))</f>
        <v>apartment</v>
      </c>
      <c r="P43">
        <f t="shared" si="0"/>
        <v>1</v>
      </c>
    </row>
    <row r="44" spans="1:16" ht="15.75" customHeight="1" x14ac:dyDescent="0.35">
      <c r="A44" s="13">
        <v>43</v>
      </c>
      <c r="B44" s="14">
        <v>45859</v>
      </c>
      <c r="C44" s="15"/>
      <c r="D44" s="16" t="s">
        <v>44</v>
      </c>
      <c r="E44" s="17">
        <v>12752</v>
      </c>
      <c r="F44" s="18"/>
      <c r="G44" s="18"/>
      <c r="H44" s="19">
        <v>620000</v>
      </c>
      <c r="I44" s="19">
        <v>238000</v>
      </c>
      <c r="J44" s="20" t="s">
        <v>37</v>
      </c>
      <c r="K44" s="13">
        <v>61</v>
      </c>
      <c r="L44" s="21" t="s">
        <v>38</v>
      </c>
      <c r="M44" s="21" t="s">
        <v>48</v>
      </c>
      <c r="N44" s="16" t="s">
        <v>43</v>
      </c>
      <c r="O44" t="str">
        <f>IF(TRIM(J44)="","NULL",IFERROR(VLOOKUP(TRIM(J44),Lookup_PropertyType!$A:$B,2,FALSE()),"other"))</f>
        <v>house</v>
      </c>
      <c r="P44">
        <f t="shared" si="0"/>
        <v>0</v>
      </c>
    </row>
    <row r="45" spans="1:16" ht="15.75" customHeight="1" x14ac:dyDescent="0.35">
      <c r="A45" s="13">
        <v>44</v>
      </c>
      <c r="B45" s="14">
        <v>45534</v>
      </c>
      <c r="C45" s="14">
        <v>45625</v>
      </c>
      <c r="D45" s="16" t="s">
        <v>32</v>
      </c>
      <c r="E45" s="17">
        <v>5500</v>
      </c>
      <c r="F45" s="18"/>
      <c r="G45" s="18"/>
      <c r="H45" s="19">
        <v>280000</v>
      </c>
      <c r="I45" s="19">
        <v>100000</v>
      </c>
      <c r="J45" s="20" t="s">
        <v>33</v>
      </c>
      <c r="K45" s="13">
        <v>55</v>
      </c>
      <c r="L45" s="21" t="s">
        <v>38</v>
      </c>
      <c r="M45" s="21" t="s">
        <v>39</v>
      </c>
      <c r="N45" s="16" t="s">
        <v>36</v>
      </c>
      <c r="O45" t="str">
        <f>IF(TRIM(J45)="","NULL",IFERROR(VLOOKUP(TRIM(J45),Lookup_PropertyType!$A:$B,2,FALSE()),"other"))</f>
        <v>apartment</v>
      </c>
      <c r="P45">
        <f t="shared" si="0"/>
        <v>1</v>
      </c>
    </row>
    <row r="46" spans="1:16" ht="15.75" customHeight="1" x14ac:dyDescent="0.35">
      <c r="A46" s="13">
        <v>45</v>
      </c>
      <c r="B46" s="14">
        <v>45555</v>
      </c>
      <c r="C46" s="15"/>
      <c r="D46" s="16" t="s">
        <v>49</v>
      </c>
      <c r="E46" s="17">
        <v>20000</v>
      </c>
      <c r="F46" s="18"/>
      <c r="G46" s="18"/>
      <c r="H46" s="19">
        <v>300000</v>
      </c>
      <c r="I46" s="19">
        <v>45000</v>
      </c>
      <c r="J46" s="20" t="s">
        <v>33</v>
      </c>
      <c r="K46" s="13">
        <v>36</v>
      </c>
      <c r="L46" s="21" t="s">
        <v>34</v>
      </c>
      <c r="M46" s="21" t="s">
        <v>39</v>
      </c>
      <c r="N46" s="16" t="s">
        <v>36</v>
      </c>
      <c r="O46" t="str">
        <f>IF(TRIM(J46)="","NULL",IFERROR(VLOOKUP(TRIM(J46),Lookup_PropertyType!$A:$B,2,FALSE()),"other"))</f>
        <v>apartment</v>
      </c>
      <c r="P46">
        <f t="shared" si="0"/>
        <v>0</v>
      </c>
    </row>
    <row r="47" spans="1:16" ht="15.75" customHeight="1" x14ac:dyDescent="0.35">
      <c r="A47" s="13">
        <v>46</v>
      </c>
      <c r="B47" s="14">
        <v>45592</v>
      </c>
      <c r="C47" s="15"/>
      <c r="D47" s="16" t="s">
        <v>57</v>
      </c>
      <c r="E47" s="17">
        <v>26344</v>
      </c>
      <c r="F47" s="18"/>
      <c r="G47" s="18"/>
      <c r="H47" s="19">
        <v>800000</v>
      </c>
      <c r="I47" s="19">
        <v>120000</v>
      </c>
      <c r="J47" s="20" t="s">
        <v>33</v>
      </c>
      <c r="K47" s="13">
        <v>59</v>
      </c>
      <c r="L47" s="21" t="s">
        <v>45</v>
      </c>
      <c r="M47" s="21" t="s">
        <v>35</v>
      </c>
      <c r="N47" s="16" t="s">
        <v>42</v>
      </c>
      <c r="O47" t="str">
        <f>IF(TRIM(J47)="","NULL",IFERROR(VLOOKUP(TRIM(J47),Lookup_PropertyType!$A:$B,2,FALSE()),"other"))</f>
        <v>apartment</v>
      </c>
      <c r="P47">
        <f t="shared" si="0"/>
        <v>0</v>
      </c>
    </row>
    <row r="48" spans="1:16" ht="15.75" customHeight="1" x14ac:dyDescent="0.35">
      <c r="A48" s="13">
        <v>47</v>
      </c>
      <c r="B48" s="14">
        <v>45527</v>
      </c>
      <c r="C48" s="14">
        <v>45634</v>
      </c>
      <c r="D48" s="16" t="s">
        <v>58</v>
      </c>
      <c r="E48" s="17">
        <v>7900</v>
      </c>
      <c r="F48" s="18"/>
      <c r="G48" s="18"/>
      <c r="H48" s="19">
        <v>950000</v>
      </c>
      <c r="I48" s="19">
        <v>50000</v>
      </c>
      <c r="J48" s="20" t="s">
        <v>33</v>
      </c>
      <c r="K48" s="13">
        <v>68</v>
      </c>
      <c r="L48" s="21" t="s">
        <v>34</v>
      </c>
      <c r="M48" s="21" t="s">
        <v>48</v>
      </c>
      <c r="N48" s="16" t="s">
        <v>43</v>
      </c>
      <c r="O48" t="str">
        <f>IF(TRIM(J48)="","NULL",IFERROR(VLOOKUP(TRIM(J48),Lookup_PropertyType!$A:$B,2,FALSE()),"other"))</f>
        <v>apartment</v>
      </c>
      <c r="P48">
        <f t="shared" si="0"/>
        <v>1</v>
      </c>
    </row>
    <row r="49" spans="1:16" ht="15.75" customHeight="1" x14ac:dyDescent="0.35">
      <c r="A49" s="13">
        <v>48</v>
      </c>
      <c r="B49" s="14">
        <v>45540</v>
      </c>
      <c r="C49" s="15"/>
      <c r="D49" s="16" t="s">
        <v>32</v>
      </c>
      <c r="E49" s="17">
        <v>13000</v>
      </c>
      <c r="F49" s="18"/>
      <c r="G49" s="18"/>
      <c r="H49" s="19">
        <v>500000</v>
      </c>
      <c r="I49" s="19">
        <v>200000</v>
      </c>
      <c r="J49" s="20" t="s">
        <v>37</v>
      </c>
      <c r="K49" s="13">
        <v>51</v>
      </c>
      <c r="L49" s="21" t="s">
        <v>34</v>
      </c>
      <c r="M49" s="21" t="s">
        <v>39</v>
      </c>
      <c r="N49" s="16" t="s">
        <v>50</v>
      </c>
      <c r="O49" t="str">
        <f>IF(TRIM(J49)="","NULL",IFERROR(VLOOKUP(TRIM(J49),Lookup_PropertyType!$A:$B,2,FALSE()),"other"))</f>
        <v>house</v>
      </c>
      <c r="P49">
        <f t="shared" si="0"/>
        <v>0</v>
      </c>
    </row>
    <row r="50" spans="1:16" ht="15.75" customHeight="1" x14ac:dyDescent="0.35">
      <c r="A50" s="13">
        <v>49</v>
      </c>
      <c r="B50" s="14">
        <v>45543</v>
      </c>
      <c r="C50" s="14">
        <v>45563</v>
      </c>
      <c r="D50" s="16" t="s">
        <v>44</v>
      </c>
      <c r="E50" s="17">
        <v>7000</v>
      </c>
      <c r="F50" s="18"/>
      <c r="G50" s="18"/>
      <c r="H50" s="19">
        <v>450000</v>
      </c>
      <c r="I50" s="19">
        <v>120000</v>
      </c>
      <c r="J50" s="20" t="s">
        <v>33</v>
      </c>
      <c r="K50" s="13">
        <v>46</v>
      </c>
      <c r="L50" s="21" t="s">
        <v>41</v>
      </c>
      <c r="M50" s="21" t="s">
        <v>39</v>
      </c>
      <c r="N50" s="16" t="s">
        <v>51</v>
      </c>
      <c r="O50" t="str">
        <f>IF(TRIM(J50)="","NULL",IFERROR(VLOOKUP(TRIM(J50),Lookup_PropertyType!$A:$B,2,FALSE()),"other"))</f>
        <v>apartment</v>
      </c>
      <c r="P50">
        <f t="shared" si="0"/>
        <v>1</v>
      </c>
    </row>
    <row r="51" spans="1:16" ht="15.75" customHeight="1" x14ac:dyDescent="0.35">
      <c r="A51" s="13">
        <v>50</v>
      </c>
      <c r="B51" s="14">
        <v>45557</v>
      </c>
      <c r="C51" s="14">
        <v>45648</v>
      </c>
      <c r="D51" s="16" t="s">
        <v>58</v>
      </c>
      <c r="E51" s="17">
        <v>46000</v>
      </c>
      <c r="F51" s="18"/>
      <c r="G51" s="18"/>
      <c r="H51" s="19">
        <v>1000000</v>
      </c>
      <c r="I51" s="19">
        <v>600000</v>
      </c>
      <c r="J51" s="20" t="s">
        <v>37</v>
      </c>
      <c r="K51" s="13">
        <v>47</v>
      </c>
      <c r="L51" s="21" t="s">
        <v>59</v>
      </c>
      <c r="M51" s="21" t="s">
        <v>39</v>
      </c>
      <c r="N51" s="16" t="s">
        <v>42</v>
      </c>
      <c r="O51" t="str">
        <f>IF(TRIM(J51)="","NULL",IFERROR(VLOOKUP(TRIM(J51),Lookup_PropertyType!$A:$B,2,FALSE()),"other"))</f>
        <v>house</v>
      </c>
      <c r="P51">
        <f t="shared" si="0"/>
        <v>1</v>
      </c>
    </row>
    <row r="52" spans="1:16" ht="15.75" customHeight="1" x14ac:dyDescent="0.35">
      <c r="A52" s="13">
        <v>51</v>
      </c>
      <c r="B52" s="14">
        <v>45645</v>
      </c>
      <c r="C52" s="15"/>
      <c r="D52" s="16" t="s">
        <v>32</v>
      </c>
      <c r="E52" s="17">
        <v>50000</v>
      </c>
      <c r="F52" s="18"/>
      <c r="G52" s="18"/>
      <c r="H52" s="19">
        <v>1000000</v>
      </c>
      <c r="I52" s="19">
        <v>500000</v>
      </c>
      <c r="J52" s="20" t="s">
        <v>60</v>
      </c>
      <c r="K52" s="13">
        <v>54</v>
      </c>
      <c r="L52" s="21" t="s">
        <v>45</v>
      </c>
      <c r="M52" s="21" t="s">
        <v>39</v>
      </c>
      <c r="N52" s="16" t="s">
        <v>36</v>
      </c>
      <c r="O52" t="str">
        <f>IF(TRIM(J52)="","NULL",IFERROR(VLOOKUP(TRIM(J52),Lookup_PropertyType!$A:$B,2,FALSE()),"other"))</f>
        <v>other</v>
      </c>
      <c r="P52">
        <f t="shared" si="0"/>
        <v>0</v>
      </c>
    </row>
    <row r="53" spans="1:16" ht="15.75" customHeight="1" x14ac:dyDescent="0.35">
      <c r="A53" s="13">
        <v>52</v>
      </c>
      <c r="B53" s="14">
        <v>45561</v>
      </c>
      <c r="C53" s="14">
        <v>45582</v>
      </c>
      <c r="D53" s="16" t="s">
        <v>32</v>
      </c>
      <c r="E53" s="17">
        <v>8000</v>
      </c>
      <c r="F53" s="18"/>
      <c r="G53" s="18"/>
      <c r="H53" s="19">
        <v>350000</v>
      </c>
      <c r="I53" s="19">
        <v>140000</v>
      </c>
      <c r="J53" s="20" t="s">
        <v>33</v>
      </c>
      <c r="K53" s="13">
        <v>38</v>
      </c>
      <c r="L53" s="21" t="s">
        <v>38</v>
      </c>
      <c r="M53" s="21" t="s">
        <v>48</v>
      </c>
      <c r="N53" s="16" t="s">
        <v>42</v>
      </c>
      <c r="O53" t="str">
        <f>IF(TRIM(J53)="","NULL",IFERROR(VLOOKUP(TRIM(J53),Lookup_PropertyType!$A:$B,2,FALSE()),"other"))</f>
        <v>apartment</v>
      </c>
      <c r="P53">
        <f t="shared" si="0"/>
        <v>1</v>
      </c>
    </row>
    <row r="54" spans="1:16" ht="15.75" customHeight="1" x14ac:dyDescent="0.35">
      <c r="A54" s="13">
        <v>53</v>
      </c>
      <c r="B54" s="14">
        <v>45681</v>
      </c>
      <c r="C54" s="14">
        <v>45708</v>
      </c>
      <c r="D54" s="16" t="s">
        <v>32</v>
      </c>
      <c r="E54" s="17">
        <v>20000</v>
      </c>
      <c r="F54" s="18"/>
      <c r="G54" s="18"/>
      <c r="H54" s="19">
        <v>950000</v>
      </c>
      <c r="I54" s="19">
        <v>120000</v>
      </c>
      <c r="J54" s="20" t="s">
        <v>33</v>
      </c>
      <c r="K54" s="13">
        <v>45</v>
      </c>
      <c r="L54" s="21" t="s">
        <v>34</v>
      </c>
      <c r="M54" s="21" t="s">
        <v>39</v>
      </c>
      <c r="N54" s="16" t="s">
        <v>42</v>
      </c>
      <c r="O54" t="str">
        <f>IF(TRIM(J54)="","NULL",IFERROR(VLOOKUP(TRIM(J54),Lookup_PropertyType!$A:$B,2,FALSE()),"other"))</f>
        <v>apartment</v>
      </c>
      <c r="P54">
        <f t="shared" si="0"/>
        <v>1</v>
      </c>
    </row>
    <row r="55" spans="1:16" ht="15.75" customHeight="1" x14ac:dyDescent="0.35">
      <c r="A55" s="13">
        <v>54</v>
      </c>
      <c r="B55" s="14">
        <v>45585</v>
      </c>
      <c r="C55" s="14">
        <v>45614</v>
      </c>
      <c r="D55" s="16" t="s">
        <v>32</v>
      </c>
      <c r="E55" s="17">
        <v>25000</v>
      </c>
      <c r="F55" s="18"/>
      <c r="G55" s="18"/>
      <c r="H55" s="19">
        <v>1000000</v>
      </c>
      <c r="I55" s="19">
        <v>300000</v>
      </c>
      <c r="J55" s="20" t="s">
        <v>37</v>
      </c>
      <c r="K55" s="13">
        <v>70</v>
      </c>
      <c r="L55" s="21" t="s">
        <v>41</v>
      </c>
      <c r="M55" s="21" t="s">
        <v>39</v>
      </c>
      <c r="N55" s="16" t="s">
        <v>36</v>
      </c>
      <c r="O55" t="str">
        <f>IF(TRIM(J55)="","NULL",IFERROR(VLOOKUP(TRIM(J55),Lookup_PropertyType!$A:$B,2,FALSE()),"other"))</f>
        <v>house</v>
      </c>
      <c r="P55">
        <f t="shared" si="0"/>
        <v>1</v>
      </c>
    </row>
    <row r="56" spans="1:16" ht="15.75" customHeight="1" x14ac:dyDescent="0.35">
      <c r="A56" s="13">
        <v>55</v>
      </c>
      <c r="B56" s="14">
        <v>45597</v>
      </c>
      <c r="C56" s="15"/>
      <c r="D56" s="16" t="s">
        <v>32</v>
      </c>
      <c r="E56" s="17">
        <v>15000</v>
      </c>
      <c r="F56" s="18"/>
      <c r="G56" s="18"/>
      <c r="H56" s="19">
        <v>600000</v>
      </c>
      <c r="I56" s="19">
        <v>50000</v>
      </c>
      <c r="J56" s="20" t="s">
        <v>37</v>
      </c>
      <c r="K56" s="13">
        <v>64</v>
      </c>
      <c r="L56" s="21" t="s">
        <v>38</v>
      </c>
      <c r="M56" s="21" t="s">
        <v>39</v>
      </c>
      <c r="N56" s="16" t="s">
        <v>36</v>
      </c>
      <c r="O56" t="str">
        <f>IF(TRIM(J56)="","NULL",IFERROR(VLOOKUP(TRIM(J56),Lookup_PropertyType!$A:$B,2,FALSE()),"other"))</f>
        <v>house</v>
      </c>
      <c r="P56">
        <f t="shared" si="0"/>
        <v>0</v>
      </c>
    </row>
    <row r="57" spans="1:16" ht="15.75" customHeight="1" x14ac:dyDescent="0.35">
      <c r="A57" s="13">
        <v>56</v>
      </c>
      <c r="B57" s="14">
        <v>45548</v>
      </c>
      <c r="C57" s="14">
        <v>45558</v>
      </c>
      <c r="D57" s="16" t="s">
        <v>61</v>
      </c>
      <c r="E57" s="17">
        <v>36000</v>
      </c>
      <c r="F57" s="18"/>
      <c r="G57" s="18"/>
      <c r="H57" s="19">
        <v>1600000</v>
      </c>
      <c r="I57" s="19">
        <v>400000</v>
      </c>
      <c r="J57" s="20" t="s">
        <v>33</v>
      </c>
      <c r="K57" s="13">
        <v>62</v>
      </c>
      <c r="L57" s="21" t="s">
        <v>38</v>
      </c>
      <c r="M57" s="21" t="s">
        <v>39</v>
      </c>
      <c r="N57" s="16" t="s">
        <v>42</v>
      </c>
      <c r="O57" t="str">
        <f>IF(TRIM(J57)="","NULL",IFERROR(VLOOKUP(TRIM(J57),Lookup_PropertyType!$A:$B,2,FALSE()),"other"))</f>
        <v>apartment</v>
      </c>
      <c r="P57">
        <f t="shared" si="0"/>
        <v>1</v>
      </c>
    </row>
    <row r="58" spans="1:16" ht="15.75" customHeight="1" x14ac:dyDescent="0.35">
      <c r="A58" s="13">
        <v>57</v>
      </c>
      <c r="B58" s="14">
        <v>45617</v>
      </c>
      <c r="C58" s="14">
        <v>45654</v>
      </c>
      <c r="D58" s="16" t="s">
        <v>32</v>
      </c>
      <c r="E58" s="17">
        <v>12000</v>
      </c>
      <c r="F58" s="18"/>
      <c r="G58" s="18"/>
      <c r="H58" s="19">
        <v>600000</v>
      </c>
      <c r="I58" s="19">
        <v>200000</v>
      </c>
      <c r="J58" s="20" t="s">
        <v>33</v>
      </c>
      <c r="K58" s="13">
        <v>52</v>
      </c>
      <c r="L58" s="21" t="s">
        <v>41</v>
      </c>
      <c r="M58" s="21" t="s">
        <v>39</v>
      </c>
      <c r="N58" s="16" t="s">
        <v>36</v>
      </c>
      <c r="O58" t="str">
        <f>IF(TRIM(J58)="","NULL",IFERROR(VLOOKUP(TRIM(J58),Lookup_PropertyType!$A:$B,2,FALSE()),"other"))</f>
        <v>apartment</v>
      </c>
      <c r="P58">
        <f t="shared" si="0"/>
        <v>1</v>
      </c>
    </row>
    <row r="59" spans="1:16" ht="15.75" customHeight="1" x14ac:dyDescent="0.35">
      <c r="A59" s="13">
        <v>58</v>
      </c>
      <c r="B59" s="14">
        <v>45534</v>
      </c>
      <c r="C59" s="15"/>
      <c r="D59" s="16" t="s">
        <v>32</v>
      </c>
      <c r="E59" s="17">
        <v>15000</v>
      </c>
      <c r="F59" s="18"/>
      <c r="G59" s="18"/>
      <c r="H59" s="19">
        <v>450000</v>
      </c>
      <c r="I59" s="19">
        <v>150000</v>
      </c>
      <c r="J59" s="20" t="s">
        <v>53</v>
      </c>
      <c r="K59" s="13">
        <v>70</v>
      </c>
      <c r="L59" s="21" t="s">
        <v>38</v>
      </c>
      <c r="M59" s="21" t="s">
        <v>39</v>
      </c>
      <c r="N59" s="16" t="s">
        <v>51</v>
      </c>
      <c r="O59" t="str">
        <f>IF(TRIM(J59)="","NULL",IFERROR(VLOOKUP(TRIM(J59),Lookup_PropertyType!$A:$B,2,FALSE()),"other"))</f>
        <v>other</v>
      </c>
      <c r="P59">
        <f t="shared" si="0"/>
        <v>0</v>
      </c>
    </row>
    <row r="60" spans="1:16" ht="15.75" customHeight="1" x14ac:dyDescent="0.35">
      <c r="A60" s="13">
        <v>59</v>
      </c>
      <c r="B60" s="14">
        <v>45541</v>
      </c>
      <c r="C60" s="14">
        <v>45593</v>
      </c>
      <c r="D60" s="16" t="s">
        <v>32</v>
      </c>
      <c r="E60" s="17">
        <v>5680</v>
      </c>
      <c r="F60" s="18"/>
      <c r="G60" s="18"/>
      <c r="H60" s="19">
        <v>500000</v>
      </c>
      <c r="I60" s="19">
        <v>106131</v>
      </c>
      <c r="J60" s="20" t="s">
        <v>37</v>
      </c>
      <c r="K60" s="13">
        <v>49</v>
      </c>
      <c r="L60" s="21" t="s">
        <v>34</v>
      </c>
      <c r="M60" s="21" t="s">
        <v>48</v>
      </c>
      <c r="N60" s="16" t="s">
        <v>42</v>
      </c>
      <c r="O60" t="str">
        <f>IF(TRIM(J60)="","NULL",IFERROR(VLOOKUP(TRIM(J60),Lookup_PropertyType!$A:$B,2,FALSE()),"other"))</f>
        <v>house</v>
      </c>
      <c r="P60">
        <f t="shared" si="0"/>
        <v>1</v>
      </c>
    </row>
    <row r="61" spans="1:16" ht="15.75" customHeight="1" x14ac:dyDescent="0.35">
      <c r="A61" s="13">
        <v>60</v>
      </c>
      <c r="B61" s="14">
        <v>45206.5</v>
      </c>
      <c r="C61" s="14">
        <v>45592</v>
      </c>
      <c r="D61" s="16" t="s">
        <v>32</v>
      </c>
      <c r="E61" s="17">
        <v>17000</v>
      </c>
      <c r="F61" s="18"/>
      <c r="G61" s="18"/>
      <c r="H61" s="19">
        <v>250000</v>
      </c>
      <c r="I61" s="19">
        <v>30000</v>
      </c>
      <c r="J61" s="20" t="s">
        <v>37</v>
      </c>
      <c r="K61" s="13">
        <v>51</v>
      </c>
      <c r="L61" s="21" t="s">
        <v>45</v>
      </c>
      <c r="M61" s="21" t="s">
        <v>48</v>
      </c>
      <c r="N61" s="16" t="s">
        <v>42</v>
      </c>
      <c r="O61" t="str">
        <f>IF(TRIM(J61)="","NULL",IFERROR(VLOOKUP(TRIM(J61),Lookup_PropertyType!$A:$B,2,FALSE()),"other"))</f>
        <v>house</v>
      </c>
      <c r="P61">
        <f t="shared" si="0"/>
        <v>1</v>
      </c>
    </row>
    <row r="62" spans="1:16" ht="15.75" customHeight="1" x14ac:dyDescent="0.35">
      <c r="A62" s="13">
        <v>61</v>
      </c>
      <c r="B62" s="14">
        <v>45540</v>
      </c>
      <c r="C62" s="14">
        <v>45563</v>
      </c>
      <c r="D62" s="16" t="s">
        <v>32</v>
      </c>
      <c r="E62" s="17">
        <v>30000</v>
      </c>
      <c r="F62" s="18"/>
      <c r="G62" s="18"/>
      <c r="H62" s="19">
        <v>900000</v>
      </c>
      <c r="I62" s="19">
        <v>150000</v>
      </c>
      <c r="J62" s="20" t="s">
        <v>62</v>
      </c>
      <c r="K62" s="13">
        <v>53</v>
      </c>
      <c r="L62" s="21" t="s">
        <v>34</v>
      </c>
      <c r="M62" s="21" t="s">
        <v>48</v>
      </c>
      <c r="N62" s="16" t="s">
        <v>42</v>
      </c>
      <c r="O62" t="str">
        <f>IF(TRIM(J62)="","NULL",IFERROR(VLOOKUP(TRIM(J62),Lookup_PropertyType!$A:$B,2,FALSE()),"other"))</f>
        <v>apartment</v>
      </c>
      <c r="P62">
        <f t="shared" si="0"/>
        <v>1</v>
      </c>
    </row>
    <row r="63" spans="1:16" ht="15.75" customHeight="1" x14ac:dyDescent="0.35">
      <c r="A63" s="13">
        <v>62</v>
      </c>
      <c r="B63" s="14">
        <v>45550</v>
      </c>
      <c r="C63" s="14">
        <v>45593</v>
      </c>
      <c r="D63" s="16" t="s">
        <v>32</v>
      </c>
      <c r="E63" s="17">
        <v>35000</v>
      </c>
      <c r="F63" s="18"/>
      <c r="G63" s="18"/>
      <c r="H63" s="19">
        <v>1500000</v>
      </c>
      <c r="I63" s="19">
        <v>400000</v>
      </c>
      <c r="J63" s="20" t="s">
        <v>37</v>
      </c>
      <c r="K63" s="13">
        <v>49</v>
      </c>
      <c r="L63" s="21" t="s">
        <v>38</v>
      </c>
      <c r="M63" s="21" t="s">
        <v>54</v>
      </c>
      <c r="N63" s="16" t="s">
        <v>36</v>
      </c>
      <c r="O63" t="str">
        <f>IF(TRIM(J63)="","NULL",IFERROR(VLOOKUP(TRIM(J63),Lookup_PropertyType!$A:$B,2,FALSE()),"other"))</f>
        <v>house</v>
      </c>
      <c r="P63">
        <f t="shared" si="0"/>
        <v>1</v>
      </c>
    </row>
    <row r="64" spans="1:16" ht="15.75" customHeight="1" x14ac:dyDescent="0.35">
      <c r="A64" s="13">
        <v>63</v>
      </c>
      <c r="B64" s="14">
        <v>45579</v>
      </c>
      <c r="C64" s="14">
        <v>45626</v>
      </c>
      <c r="D64" s="16" t="s">
        <v>46</v>
      </c>
      <c r="E64" s="17">
        <v>5000</v>
      </c>
      <c r="F64" s="18"/>
      <c r="G64" s="18"/>
      <c r="H64" s="19">
        <v>200000</v>
      </c>
      <c r="I64" s="19">
        <v>45000</v>
      </c>
      <c r="J64" s="20" t="s">
        <v>33</v>
      </c>
      <c r="K64" s="13">
        <v>54</v>
      </c>
      <c r="L64" s="21" t="s">
        <v>59</v>
      </c>
      <c r="M64" s="21" t="s">
        <v>39</v>
      </c>
      <c r="N64" s="16" t="s">
        <v>42</v>
      </c>
      <c r="O64" t="str">
        <f>IF(TRIM(J64)="","NULL",IFERROR(VLOOKUP(TRIM(J64),Lookup_PropertyType!$A:$B,2,FALSE()),"other"))</f>
        <v>apartment</v>
      </c>
      <c r="P64">
        <f t="shared" si="0"/>
        <v>1</v>
      </c>
    </row>
    <row r="65" spans="1:16" ht="15.75" customHeight="1" x14ac:dyDescent="0.35">
      <c r="A65" s="13">
        <v>64</v>
      </c>
      <c r="B65" s="14">
        <v>45565</v>
      </c>
      <c r="C65" s="14">
        <v>45585</v>
      </c>
      <c r="D65" s="16" t="s">
        <v>32</v>
      </c>
      <c r="E65" s="17">
        <v>50000</v>
      </c>
      <c r="F65" s="18"/>
      <c r="G65" s="18"/>
      <c r="H65" s="19">
        <v>2500000</v>
      </c>
      <c r="I65" s="19">
        <v>60000</v>
      </c>
      <c r="J65" s="20" t="s">
        <v>37</v>
      </c>
      <c r="K65" s="13">
        <v>57</v>
      </c>
      <c r="L65" s="21" t="s">
        <v>41</v>
      </c>
      <c r="M65" s="21" t="s">
        <v>39</v>
      </c>
      <c r="N65" s="16" t="s">
        <v>36</v>
      </c>
      <c r="O65" t="str">
        <f>IF(TRIM(J65)="","NULL",IFERROR(VLOOKUP(TRIM(J65),Lookup_PropertyType!$A:$B,2,FALSE()),"other"))</f>
        <v>house</v>
      </c>
      <c r="P65">
        <f t="shared" si="0"/>
        <v>1</v>
      </c>
    </row>
    <row r="66" spans="1:16" ht="15.75" customHeight="1" x14ac:dyDescent="0.35">
      <c r="A66" s="13">
        <v>65</v>
      </c>
      <c r="B66" s="14">
        <v>45570</v>
      </c>
      <c r="C66" s="15"/>
      <c r="D66" s="16" t="s">
        <v>32</v>
      </c>
      <c r="E66" s="17">
        <v>7000</v>
      </c>
      <c r="F66" s="18"/>
      <c r="G66" s="18"/>
      <c r="H66" s="19">
        <v>210000</v>
      </c>
      <c r="I66" s="19">
        <v>45000</v>
      </c>
      <c r="J66" s="20" t="s">
        <v>37</v>
      </c>
      <c r="K66" s="13">
        <v>47</v>
      </c>
      <c r="L66" s="21" t="s">
        <v>38</v>
      </c>
      <c r="M66" s="21" t="s">
        <v>39</v>
      </c>
      <c r="N66" s="16" t="s">
        <v>42</v>
      </c>
      <c r="O66" t="str">
        <f>IF(TRIM(J66)="","NULL",IFERROR(VLOOKUP(TRIM(J66),Lookup_PropertyType!$A:$B,2,FALSE()),"other"))</f>
        <v>house</v>
      </c>
      <c r="P66">
        <f t="shared" ref="P66:P129" si="1">IF(AND(C66&lt;&gt;"",C66&gt;=B66),1,0)</f>
        <v>0</v>
      </c>
    </row>
    <row r="67" spans="1:16" ht="15.75" customHeight="1" x14ac:dyDescent="0.35">
      <c r="A67" s="13">
        <v>66</v>
      </c>
      <c r="B67" s="14">
        <v>45540</v>
      </c>
      <c r="C67" s="15"/>
      <c r="D67" s="16" t="s">
        <v>44</v>
      </c>
      <c r="E67" s="17">
        <v>4500</v>
      </c>
      <c r="F67" s="18"/>
      <c r="G67" s="18"/>
      <c r="H67" s="19">
        <v>180000</v>
      </c>
      <c r="I67" s="19">
        <v>84000</v>
      </c>
      <c r="J67" s="20" t="s">
        <v>33</v>
      </c>
      <c r="K67" s="13">
        <v>39</v>
      </c>
      <c r="L67" s="21" t="s">
        <v>41</v>
      </c>
      <c r="M67" s="21" t="s">
        <v>35</v>
      </c>
      <c r="N67" s="16" t="s">
        <v>42</v>
      </c>
      <c r="O67" t="str">
        <f>IF(TRIM(J67)="","NULL",IFERROR(VLOOKUP(TRIM(J67),Lookup_PropertyType!$A:$B,2,FALSE()),"other"))</f>
        <v>apartment</v>
      </c>
      <c r="P67">
        <f t="shared" si="1"/>
        <v>0</v>
      </c>
    </row>
    <row r="68" spans="1:16" ht="15.75" customHeight="1" x14ac:dyDescent="0.35">
      <c r="A68" s="13">
        <v>67</v>
      </c>
      <c r="B68" s="14">
        <v>45547</v>
      </c>
      <c r="C68" s="15"/>
      <c r="D68" s="16" t="s">
        <v>58</v>
      </c>
      <c r="E68" s="17">
        <v>25000</v>
      </c>
      <c r="F68" s="18"/>
      <c r="G68" s="18"/>
      <c r="H68" s="19">
        <v>500000</v>
      </c>
      <c r="I68" s="19">
        <v>230000</v>
      </c>
      <c r="J68" s="20" t="s">
        <v>37</v>
      </c>
      <c r="K68" s="13">
        <v>39</v>
      </c>
      <c r="L68" s="21" t="s">
        <v>38</v>
      </c>
      <c r="M68" s="21" t="s">
        <v>39</v>
      </c>
      <c r="N68" s="16" t="s">
        <v>51</v>
      </c>
      <c r="O68" t="str">
        <f>IF(TRIM(J68)="","NULL",IFERROR(VLOOKUP(TRIM(J68),Lookup_PropertyType!$A:$B,2,FALSE()),"other"))</f>
        <v>house</v>
      </c>
      <c r="P68">
        <f t="shared" si="1"/>
        <v>0</v>
      </c>
    </row>
    <row r="69" spans="1:16" ht="15.75" customHeight="1" x14ac:dyDescent="0.35">
      <c r="A69" s="13">
        <v>68</v>
      </c>
      <c r="B69" s="14">
        <v>45540</v>
      </c>
      <c r="C69" s="14">
        <v>45554</v>
      </c>
      <c r="D69" s="16" t="s">
        <v>56</v>
      </c>
      <c r="E69" s="17">
        <v>10000</v>
      </c>
      <c r="F69" s="18"/>
      <c r="G69" s="18"/>
      <c r="H69" s="19">
        <v>400000</v>
      </c>
      <c r="I69" s="19">
        <v>150000</v>
      </c>
      <c r="J69" s="20" t="s">
        <v>37</v>
      </c>
      <c r="K69" s="13">
        <v>50</v>
      </c>
      <c r="L69" s="21" t="s">
        <v>38</v>
      </c>
      <c r="M69" s="21" t="s">
        <v>35</v>
      </c>
      <c r="N69" s="16" t="s">
        <v>36</v>
      </c>
      <c r="O69" t="str">
        <f>IF(TRIM(J69)="","NULL",IFERROR(VLOOKUP(TRIM(J69),Lookup_PropertyType!$A:$B,2,FALSE()),"other"))</f>
        <v>house</v>
      </c>
      <c r="P69">
        <f t="shared" si="1"/>
        <v>1</v>
      </c>
    </row>
    <row r="70" spans="1:16" ht="15.75" customHeight="1" x14ac:dyDescent="0.35">
      <c r="A70" s="13">
        <v>69</v>
      </c>
      <c r="B70" s="14">
        <v>45680</v>
      </c>
      <c r="C70" s="15"/>
      <c r="D70" s="16" t="s">
        <v>32</v>
      </c>
      <c r="E70" s="17">
        <v>6000</v>
      </c>
      <c r="F70" s="18"/>
      <c r="G70" s="18"/>
      <c r="H70" s="19">
        <v>400000</v>
      </c>
      <c r="I70" s="19">
        <v>30000</v>
      </c>
      <c r="J70" s="20" t="s">
        <v>33</v>
      </c>
      <c r="K70" s="13">
        <v>41</v>
      </c>
      <c r="L70" s="21" t="s">
        <v>38</v>
      </c>
      <c r="M70" s="21" t="s">
        <v>48</v>
      </c>
      <c r="N70" s="16" t="s">
        <v>42</v>
      </c>
      <c r="O70" t="str">
        <f>IF(TRIM(J70)="","NULL",IFERROR(VLOOKUP(TRIM(J70),Lookup_PropertyType!$A:$B,2,FALSE()),"other"))</f>
        <v>apartment</v>
      </c>
      <c r="P70">
        <f t="shared" si="1"/>
        <v>0</v>
      </c>
    </row>
    <row r="71" spans="1:16" ht="15.75" customHeight="1" x14ac:dyDescent="0.35">
      <c r="A71" s="13">
        <v>70</v>
      </c>
      <c r="B71" s="14">
        <v>45652</v>
      </c>
      <c r="C71" s="15"/>
      <c r="D71" s="16" t="s">
        <v>63</v>
      </c>
      <c r="E71" s="17">
        <v>4700</v>
      </c>
      <c r="F71" s="18"/>
      <c r="G71" s="18"/>
      <c r="H71" s="19">
        <v>300000</v>
      </c>
      <c r="I71" s="19">
        <v>87000</v>
      </c>
      <c r="J71" s="20" t="s">
        <v>37</v>
      </c>
      <c r="K71" s="13">
        <v>65</v>
      </c>
      <c r="L71" s="21" t="s">
        <v>41</v>
      </c>
      <c r="M71" s="21" t="s">
        <v>35</v>
      </c>
      <c r="N71" s="16" t="s">
        <v>50</v>
      </c>
      <c r="O71" t="str">
        <f>IF(TRIM(J71)="","NULL",IFERROR(VLOOKUP(TRIM(J71),Lookup_PropertyType!$A:$B,2,FALSE()),"other"))</f>
        <v>house</v>
      </c>
      <c r="P71">
        <f t="shared" si="1"/>
        <v>0</v>
      </c>
    </row>
    <row r="72" spans="1:16" ht="15.75" customHeight="1" x14ac:dyDescent="0.35">
      <c r="A72" s="13">
        <v>71</v>
      </c>
      <c r="B72" s="14">
        <v>45565</v>
      </c>
      <c r="C72" s="14">
        <v>45632</v>
      </c>
      <c r="D72" s="16" t="s">
        <v>32</v>
      </c>
      <c r="E72" s="17">
        <v>9500</v>
      </c>
      <c r="F72" s="18"/>
      <c r="G72" s="18"/>
      <c r="H72" s="19">
        <v>400000</v>
      </c>
      <c r="I72" s="19">
        <v>90000</v>
      </c>
      <c r="J72" s="20" t="s">
        <v>33</v>
      </c>
      <c r="K72" s="13">
        <v>51</v>
      </c>
      <c r="L72" s="21" t="s">
        <v>38</v>
      </c>
      <c r="M72" s="21" t="s">
        <v>39</v>
      </c>
      <c r="N72" s="16" t="s">
        <v>42</v>
      </c>
      <c r="O72" t="str">
        <f>IF(TRIM(J72)="","NULL",IFERROR(VLOOKUP(TRIM(J72),Lookup_PropertyType!$A:$B,2,FALSE()),"other"))</f>
        <v>apartment</v>
      </c>
      <c r="P72">
        <f t="shared" si="1"/>
        <v>1</v>
      </c>
    </row>
    <row r="73" spans="1:16" ht="15.75" customHeight="1" x14ac:dyDescent="0.35">
      <c r="A73" s="13">
        <v>72</v>
      </c>
      <c r="B73" s="14">
        <v>45660</v>
      </c>
      <c r="C73" s="14">
        <v>45681</v>
      </c>
      <c r="D73" s="16" t="s">
        <v>56</v>
      </c>
      <c r="E73" s="17">
        <v>15000</v>
      </c>
      <c r="F73" s="18"/>
      <c r="G73" s="18"/>
      <c r="H73" s="19">
        <v>1000000</v>
      </c>
      <c r="I73" s="19">
        <v>100000</v>
      </c>
      <c r="J73" s="20" t="s">
        <v>37</v>
      </c>
      <c r="K73" s="13">
        <v>58</v>
      </c>
      <c r="L73" s="21" t="s">
        <v>38</v>
      </c>
      <c r="M73" s="21" t="s">
        <v>39</v>
      </c>
      <c r="N73" s="16" t="s">
        <v>36</v>
      </c>
      <c r="O73" t="str">
        <f>IF(TRIM(J73)="","NULL",IFERROR(VLOOKUP(TRIM(J73),Lookup_PropertyType!$A:$B,2,FALSE()),"other"))</f>
        <v>house</v>
      </c>
      <c r="P73">
        <f t="shared" si="1"/>
        <v>1</v>
      </c>
    </row>
    <row r="74" spans="1:16" ht="15.75" customHeight="1" x14ac:dyDescent="0.35">
      <c r="A74" s="13">
        <v>73</v>
      </c>
      <c r="B74" s="14">
        <v>45549</v>
      </c>
      <c r="C74" s="14">
        <v>45541</v>
      </c>
      <c r="D74" s="16" t="s">
        <v>44</v>
      </c>
      <c r="E74" s="17">
        <v>15000</v>
      </c>
      <c r="F74" s="18"/>
      <c r="G74" s="18"/>
      <c r="H74" s="19">
        <v>650000</v>
      </c>
      <c r="I74" s="19">
        <v>280000</v>
      </c>
      <c r="J74" s="20" t="s">
        <v>37</v>
      </c>
      <c r="K74" s="13">
        <v>47</v>
      </c>
      <c r="L74" s="21" t="s">
        <v>41</v>
      </c>
      <c r="M74" s="21" t="s">
        <v>48</v>
      </c>
      <c r="N74" s="16" t="s">
        <v>36</v>
      </c>
      <c r="O74" t="str">
        <f>IF(TRIM(J74)="","NULL",IFERROR(VLOOKUP(TRIM(J74),Lookup_PropertyType!$A:$B,2,FALSE()),"other"))</f>
        <v>house</v>
      </c>
      <c r="P74">
        <f t="shared" si="1"/>
        <v>0</v>
      </c>
    </row>
    <row r="75" spans="1:16" ht="15.75" customHeight="1" x14ac:dyDescent="0.35">
      <c r="A75" s="13">
        <v>74</v>
      </c>
      <c r="B75" s="14">
        <v>45674</v>
      </c>
      <c r="C75" s="15"/>
      <c r="D75" s="16" t="s">
        <v>32</v>
      </c>
      <c r="E75" s="17">
        <v>7000</v>
      </c>
      <c r="F75" s="18"/>
      <c r="G75" s="18"/>
      <c r="H75" s="19">
        <v>700000</v>
      </c>
      <c r="I75" s="19">
        <v>60000</v>
      </c>
      <c r="J75" s="20" t="s">
        <v>37</v>
      </c>
      <c r="K75" s="13">
        <v>58</v>
      </c>
      <c r="L75" s="21" t="s">
        <v>38</v>
      </c>
      <c r="M75" s="21" t="s">
        <v>39</v>
      </c>
      <c r="N75" s="16" t="s">
        <v>48</v>
      </c>
      <c r="O75" t="str">
        <f>IF(TRIM(J75)="","NULL",IFERROR(VLOOKUP(TRIM(J75),Lookup_PropertyType!$A:$B,2,FALSE()),"other"))</f>
        <v>house</v>
      </c>
      <c r="P75">
        <f t="shared" si="1"/>
        <v>0</v>
      </c>
    </row>
    <row r="76" spans="1:16" ht="15.75" customHeight="1" x14ac:dyDescent="0.35">
      <c r="A76" s="13">
        <v>75</v>
      </c>
      <c r="B76" s="14">
        <v>45549</v>
      </c>
      <c r="C76" s="14">
        <v>45592</v>
      </c>
      <c r="D76" s="16" t="s">
        <v>32</v>
      </c>
      <c r="E76" s="17">
        <v>41000</v>
      </c>
      <c r="F76" s="18"/>
      <c r="G76" s="18"/>
      <c r="H76" s="19">
        <v>370000</v>
      </c>
      <c r="I76" s="19">
        <v>180000</v>
      </c>
      <c r="J76" s="20" t="s">
        <v>33</v>
      </c>
      <c r="K76" s="13">
        <v>56</v>
      </c>
      <c r="L76" s="21" t="s">
        <v>38</v>
      </c>
      <c r="M76" s="21" t="s">
        <v>39</v>
      </c>
      <c r="N76" s="16" t="s">
        <v>42</v>
      </c>
      <c r="O76" t="str">
        <f>IF(TRIM(J76)="","NULL",IFERROR(VLOOKUP(TRIM(J76),Lookup_PropertyType!$A:$B,2,FALSE()),"other"))</f>
        <v>apartment</v>
      </c>
      <c r="P76">
        <f t="shared" si="1"/>
        <v>1</v>
      </c>
    </row>
    <row r="77" spans="1:16" ht="15.75" customHeight="1" x14ac:dyDescent="0.35">
      <c r="A77" s="13">
        <v>76</v>
      </c>
      <c r="B77" s="14">
        <v>45549</v>
      </c>
      <c r="C77" s="14">
        <v>45613</v>
      </c>
      <c r="D77" s="16" t="s">
        <v>32</v>
      </c>
      <c r="E77" s="17">
        <v>12000</v>
      </c>
      <c r="F77" s="18"/>
      <c r="G77" s="18"/>
      <c r="H77" s="19">
        <v>350000</v>
      </c>
      <c r="I77" s="19">
        <v>100000</v>
      </c>
      <c r="J77" s="20" t="s">
        <v>37</v>
      </c>
      <c r="K77" s="13">
        <v>37</v>
      </c>
      <c r="L77" s="21" t="s">
        <v>64</v>
      </c>
      <c r="M77" s="21" t="s">
        <v>39</v>
      </c>
      <c r="N77" s="16" t="s">
        <v>42</v>
      </c>
      <c r="O77" t="str">
        <f>IF(TRIM(J77)="","NULL",IFERROR(VLOOKUP(TRIM(J77),Lookup_PropertyType!$A:$B,2,FALSE()),"other"))</f>
        <v>house</v>
      </c>
      <c r="P77">
        <f t="shared" si="1"/>
        <v>1</v>
      </c>
    </row>
    <row r="78" spans="1:16" ht="15.75" customHeight="1" x14ac:dyDescent="0.35">
      <c r="A78" s="13">
        <v>77</v>
      </c>
      <c r="B78" s="14">
        <v>45572</v>
      </c>
      <c r="C78" s="15"/>
      <c r="D78" s="16" t="s">
        <v>56</v>
      </c>
      <c r="E78" s="17">
        <v>30000</v>
      </c>
      <c r="F78" s="18"/>
      <c r="G78" s="18"/>
      <c r="H78" s="19">
        <v>650000</v>
      </c>
      <c r="I78" s="19">
        <v>400000</v>
      </c>
      <c r="J78" s="20" t="s">
        <v>33</v>
      </c>
      <c r="K78" s="13">
        <v>59</v>
      </c>
      <c r="L78" s="21" t="s">
        <v>38</v>
      </c>
      <c r="M78" s="21" t="s">
        <v>39</v>
      </c>
      <c r="N78" s="16" t="s">
        <v>40</v>
      </c>
      <c r="O78" t="str">
        <f>IF(TRIM(J78)="","NULL",IFERROR(VLOOKUP(TRIM(J78),Lookup_PropertyType!$A:$B,2,FALSE()),"other"))</f>
        <v>apartment</v>
      </c>
      <c r="P78">
        <f t="shared" si="1"/>
        <v>0</v>
      </c>
    </row>
    <row r="79" spans="1:16" ht="15.75" customHeight="1" x14ac:dyDescent="0.35">
      <c r="A79" s="13">
        <v>78</v>
      </c>
      <c r="B79" s="14">
        <v>45612</v>
      </c>
      <c r="C79" s="14">
        <v>45698</v>
      </c>
      <c r="D79" s="16" t="s">
        <v>32</v>
      </c>
      <c r="E79" s="17">
        <v>15000</v>
      </c>
      <c r="F79" s="18"/>
      <c r="G79" s="18"/>
      <c r="H79" s="19">
        <v>1300000</v>
      </c>
      <c r="I79" s="19">
        <v>280000</v>
      </c>
      <c r="J79" s="20"/>
      <c r="K79" s="13">
        <v>57</v>
      </c>
      <c r="L79" s="21" t="s">
        <v>34</v>
      </c>
      <c r="M79" s="21" t="s">
        <v>39</v>
      </c>
      <c r="N79" s="16" t="s">
        <v>36</v>
      </c>
      <c r="O79" t="str">
        <f>IF(TRIM(J79)="","NULL",IFERROR(VLOOKUP(TRIM(J79),Lookup_PropertyType!$A:$B,2,FALSE()),"other"))</f>
        <v>NULL</v>
      </c>
      <c r="P79">
        <f t="shared" si="1"/>
        <v>1</v>
      </c>
    </row>
    <row r="80" spans="1:16" ht="15.75" customHeight="1" x14ac:dyDescent="0.35">
      <c r="A80" s="13">
        <v>79</v>
      </c>
      <c r="B80" s="14">
        <v>45946</v>
      </c>
      <c r="C80" s="14">
        <v>46004</v>
      </c>
      <c r="D80" s="16" t="s">
        <v>32</v>
      </c>
      <c r="E80" s="17">
        <v>5320</v>
      </c>
      <c r="F80" s="18"/>
      <c r="G80" s="18"/>
      <c r="H80" s="19">
        <v>300000</v>
      </c>
      <c r="I80" s="19">
        <v>30000</v>
      </c>
      <c r="J80" s="20" t="s">
        <v>33</v>
      </c>
      <c r="K80" s="13">
        <v>37</v>
      </c>
      <c r="L80" s="21" t="s">
        <v>38</v>
      </c>
      <c r="M80" s="21" t="s">
        <v>39</v>
      </c>
      <c r="N80" s="16" t="s">
        <v>42</v>
      </c>
      <c r="O80" t="str">
        <f>IF(TRIM(J80)="","NULL",IFERROR(VLOOKUP(TRIM(J80),Lookup_PropertyType!$A:$B,2,FALSE()),"other"))</f>
        <v>apartment</v>
      </c>
      <c r="P80">
        <f t="shared" si="1"/>
        <v>1</v>
      </c>
    </row>
    <row r="81" spans="1:16" ht="15.75" customHeight="1" x14ac:dyDescent="0.35">
      <c r="A81" s="13">
        <v>80</v>
      </c>
      <c r="B81" s="14">
        <v>45565</v>
      </c>
      <c r="C81" s="15"/>
      <c r="D81" s="16" t="s">
        <v>52</v>
      </c>
      <c r="E81" s="17">
        <v>7000</v>
      </c>
      <c r="F81" s="18"/>
      <c r="G81" s="18"/>
      <c r="H81" s="19">
        <v>220000</v>
      </c>
      <c r="I81" s="19">
        <v>70000</v>
      </c>
      <c r="J81" s="20" t="s">
        <v>33</v>
      </c>
      <c r="K81" s="13">
        <v>65</v>
      </c>
      <c r="L81" s="21" t="s">
        <v>34</v>
      </c>
      <c r="M81" s="21" t="s">
        <v>39</v>
      </c>
      <c r="N81" s="16" t="s">
        <v>50</v>
      </c>
      <c r="O81" t="str">
        <f>IF(TRIM(J81)="","NULL",IFERROR(VLOOKUP(TRIM(J81),Lookup_PropertyType!$A:$B,2,FALSE()),"other"))</f>
        <v>apartment</v>
      </c>
      <c r="P81">
        <f t="shared" si="1"/>
        <v>0</v>
      </c>
    </row>
    <row r="82" spans="1:16" ht="15.75" customHeight="1" x14ac:dyDescent="0.35">
      <c r="A82" s="13">
        <v>81</v>
      </c>
      <c r="B82" s="14">
        <v>45549</v>
      </c>
      <c r="C82" s="15"/>
      <c r="D82" s="16" t="s">
        <v>46</v>
      </c>
      <c r="E82" s="17">
        <v>7300</v>
      </c>
      <c r="F82" s="18"/>
      <c r="G82" s="18"/>
      <c r="H82" s="19">
        <v>230000</v>
      </c>
      <c r="I82" s="19">
        <v>125000</v>
      </c>
      <c r="J82" s="20" t="s">
        <v>33</v>
      </c>
      <c r="K82" s="13">
        <v>38</v>
      </c>
      <c r="L82" s="21" t="s">
        <v>34</v>
      </c>
      <c r="M82" s="21" t="s">
        <v>39</v>
      </c>
      <c r="N82" s="16" t="s">
        <v>42</v>
      </c>
      <c r="O82" t="str">
        <f>IF(TRIM(J82)="","NULL",IFERROR(VLOOKUP(TRIM(J82),Lookup_PropertyType!$A:$B,2,FALSE()),"other"))</f>
        <v>apartment</v>
      </c>
      <c r="P82">
        <f t="shared" si="1"/>
        <v>0</v>
      </c>
    </row>
    <row r="83" spans="1:16" ht="15.75" customHeight="1" x14ac:dyDescent="0.35">
      <c r="A83" s="13">
        <v>82</v>
      </c>
      <c r="B83" s="14">
        <v>45590</v>
      </c>
      <c r="C83" s="14">
        <v>45624</v>
      </c>
      <c r="D83" s="16" t="s">
        <v>32</v>
      </c>
      <c r="E83" s="17">
        <v>10000</v>
      </c>
      <c r="F83" s="18"/>
      <c r="G83" s="18"/>
      <c r="H83" s="19">
        <v>450000</v>
      </c>
      <c r="I83" s="19">
        <v>65000</v>
      </c>
      <c r="J83" s="20" t="s">
        <v>33</v>
      </c>
      <c r="K83" s="13">
        <v>42</v>
      </c>
      <c r="L83" s="21" t="s">
        <v>38</v>
      </c>
      <c r="M83" s="21" t="s">
        <v>39</v>
      </c>
      <c r="N83" s="16" t="s">
        <v>40</v>
      </c>
      <c r="O83" t="str">
        <f>IF(TRIM(J83)="","NULL",IFERROR(VLOOKUP(TRIM(J83),Lookup_PropertyType!$A:$B,2,FALSE()),"other"))</f>
        <v>apartment</v>
      </c>
      <c r="P83">
        <f t="shared" si="1"/>
        <v>1</v>
      </c>
    </row>
    <row r="84" spans="1:16" ht="15.75" customHeight="1" x14ac:dyDescent="0.35">
      <c r="A84" s="13">
        <v>83</v>
      </c>
      <c r="B84" s="14">
        <v>45583</v>
      </c>
      <c r="C84" s="15"/>
      <c r="D84" s="16" t="s">
        <v>32</v>
      </c>
      <c r="E84" s="17">
        <v>17000</v>
      </c>
      <c r="F84" s="18"/>
      <c r="G84" s="18"/>
      <c r="H84" s="19">
        <v>2200000</v>
      </c>
      <c r="I84" s="19">
        <v>160000</v>
      </c>
      <c r="J84" s="20" t="s">
        <v>37</v>
      </c>
      <c r="K84" s="13">
        <v>44</v>
      </c>
      <c r="L84" s="21" t="s">
        <v>38</v>
      </c>
      <c r="M84" s="21" t="s">
        <v>39</v>
      </c>
      <c r="N84" s="16" t="s">
        <v>51</v>
      </c>
      <c r="O84" t="str">
        <f>IF(TRIM(J84)="","NULL",IFERROR(VLOOKUP(TRIM(J84),Lookup_PropertyType!$A:$B,2,FALSE()),"other"))</f>
        <v>house</v>
      </c>
      <c r="P84">
        <f t="shared" si="1"/>
        <v>0</v>
      </c>
    </row>
    <row r="85" spans="1:16" ht="15.75" customHeight="1" x14ac:dyDescent="0.35">
      <c r="A85" s="13">
        <v>84</v>
      </c>
      <c r="B85" s="14">
        <v>45635</v>
      </c>
      <c r="C85" s="14">
        <v>45724</v>
      </c>
      <c r="D85" s="16" t="s">
        <v>32</v>
      </c>
      <c r="E85" s="17">
        <v>8000</v>
      </c>
      <c r="F85" s="18"/>
      <c r="G85" s="18"/>
      <c r="H85" s="19">
        <v>190000</v>
      </c>
      <c r="I85" s="19">
        <v>60000</v>
      </c>
      <c r="J85" s="20" t="s">
        <v>33</v>
      </c>
      <c r="K85" s="13">
        <v>35</v>
      </c>
      <c r="L85" s="21" t="s">
        <v>38</v>
      </c>
      <c r="M85" s="21" t="s">
        <v>48</v>
      </c>
      <c r="N85" s="16" t="s">
        <v>42</v>
      </c>
      <c r="O85" t="str">
        <f>IF(TRIM(J85)="","NULL",IFERROR(VLOOKUP(TRIM(J85),Lookup_PropertyType!$A:$B,2,FALSE()),"other"))</f>
        <v>apartment</v>
      </c>
      <c r="P85">
        <f t="shared" si="1"/>
        <v>1</v>
      </c>
    </row>
    <row r="86" spans="1:16" ht="15.75" customHeight="1" x14ac:dyDescent="0.35">
      <c r="A86" s="13">
        <v>85</v>
      </c>
      <c r="B86" s="14">
        <v>45708</v>
      </c>
      <c r="C86" s="15"/>
      <c r="D86" s="16" t="s">
        <v>49</v>
      </c>
      <c r="E86" s="17">
        <v>20000</v>
      </c>
      <c r="F86" s="18"/>
      <c r="G86" s="18"/>
      <c r="H86" s="19">
        <v>900000</v>
      </c>
      <c r="I86" s="19">
        <v>370000</v>
      </c>
      <c r="J86" s="20" t="s">
        <v>33</v>
      </c>
      <c r="K86" s="13">
        <v>46</v>
      </c>
      <c r="L86" s="21" t="s">
        <v>34</v>
      </c>
      <c r="M86" s="21" t="s">
        <v>39</v>
      </c>
      <c r="N86" s="16" t="s">
        <v>36</v>
      </c>
      <c r="O86" t="str">
        <f>IF(TRIM(J86)="","NULL",IFERROR(VLOOKUP(TRIM(J86),Lookup_PropertyType!$A:$B,2,FALSE()),"other"))</f>
        <v>apartment</v>
      </c>
      <c r="P86">
        <f t="shared" si="1"/>
        <v>0</v>
      </c>
    </row>
    <row r="87" spans="1:16" ht="15.75" customHeight="1" x14ac:dyDescent="0.35">
      <c r="A87" s="13">
        <v>86</v>
      </c>
      <c r="B87" s="14">
        <v>45638</v>
      </c>
      <c r="C87" s="15"/>
      <c r="D87" s="16" t="s">
        <v>32</v>
      </c>
      <c r="E87" s="17">
        <v>3000</v>
      </c>
      <c r="F87" s="18"/>
      <c r="G87" s="18"/>
      <c r="H87" s="19">
        <v>320000</v>
      </c>
      <c r="I87" s="19">
        <v>359532</v>
      </c>
      <c r="J87" s="20" t="s">
        <v>33</v>
      </c>
      <c r="K87" s="13">
        <v>33</v>
      </c>
      <c r="L87" s="21" t="s">
        <v>38</v>
      </c>
      <c r="M87" s="21" t="s">
        <v>39</v>
      </c>
      <c r="N87" s="16" t="s">
        <v>36</v>
      </c>
      <c r="O87" t="str">
        <f>IF(TRIM(J87)="","NULL",IFERROR(VLOOKUP(TRIM(J87),Lookup_PropertyType!$A:$B,2,FALSE()),"other"))</f>
        <v>apartment</v>
      </c>
      <c r="P87">
        <f t="shared" si="1"/>
        <v>0</v>
      </c>
    </row>
    <row r="88" spans="1:16" ht="15.75" customHeight="1" x14ac:dyDescent="0.35">
      <c r="A88" s="13">
        <v>87</v>
      </c>
      <c r="B88" s="14">
        <v>45564</v>
      </c>
      <c r="C88" s="14">
        <v>45527</v>
      </c>
      <c r="D88" s="16" t="s">
        <v>32</v>
      </c>
      <c r="E88" s="17">
        <v>8000</v>
      </c>
      <c r="F88" s="18"/>
      <c r="G88" s="18"/>
      <c r="H88" s="19">
        <v>220000</v>
      </c>
      <c r="I88" s="19">
        <v>60000</v>
      </c>
      <c r="J88" s="20" t="s">
        <v>33</v>
      </c>
      <c r="K88" s="13">
        <v>55</v>
      </c>
      <c r="L88" s="21" t="s">
        <v>45</v>
      </c>
      <c r="M88" s="21" t="s">
        <v>39</v>
      </c>
      <c r="N88" s="16" t="s">
        <v>42</v>
      </c>
      <c r="O88" t="str">
        <f>IF(TRIM(J88)="","NULL",IFERROR(VLOOKUP(TRIM(J88),Lookup_PropertyType!$A:$B,2,FALSE()),"other"))</f>
        <v>apartment</v>
      </c>
      <c r="P88">
        <f t="shared" si="1"/>
        <v>0</v>
      </c>
    </row>
    <row r="89" spans="1:16" ht="15.75" customHeight="1" x14ac:dyDescent="0.35">
      <c r="A89" s="13">
        <v>88</v>
      </c>
      <c r="B89" s="14">
        <v>45927</v>
      </c>
      <c r="C89" s="15"/>
      <c r="D89" s="16" t="s">
        <v>52</v>
      </c>
      <c r="E89" s="17">
        <v>6000</v>
      </c>
      <c r="F89" s="18"/>
      <c r="G89" s="18"/>
      <c r="H89" s="19">
        <v>350000</v>
      </c>
      <c r="I89" s="19">
        <v>50000</v>
      </c>
      <c r="J89" s="20"/>
      <c r="K89" s="13">
        <v>65</v>
      </c>
      <c r="L89" s="21" t="s">
        <v>38</v>
      </c>
      <c r="M89" s="21" t="s">
        <v>48</v>
      </c>
      <c r="N89" s="16" t="s">
        <v>43</v>
      </c>
      <c r="O89" t="str">
        <f>IF(TRIM(J89)="","NULL",IFERROR(VLOOKUP(TRIM(J89),Lookup_PropertyType!$A:$B,2,FALSE()),"other"))</f>
        <v>NULL</v>
      </c>
      <c r="P89">
        <f t="shared" si="1"/>
        <v>0</v>
      </c>
    </row>
    <row r="90" spans="1:16" ht="15.75" customHeight="1" x14ac:dyDescent="0.35">
      <c r="A90" s="13">
        <v>89</v>
      </c>
      <c r="B90" s="14">
        <v>45579</v>
      </c>
      <c r="C90" s="15"/>
      <c r="D90" s="16" t="s">
        <v>32</v>
      </c>
      <c r="E90" s="17">
        <v>5400</v>
      </c>
      <c r="F90" s="18"/>
      <c r="G90" s="18"/>
      <c r="H90" s="19">
        <v>450000</v>
      </c>
      <c r="I90" s="19">
        <v>80000</v>
      </c>
      <c r="J90" s="20" t="s">
        <v>37</v>
      </c>
      <c r="K90" s="13">
        <v>67</v>
      </c>
      <c r="L90" s="21" t="s">
        <v>59</v>
      </c>
      <c r="M90" s="21" t="s">
        <v>39</v>
      </c>
      <c r="N90" s="16" t="s">
        <v>51</v>
      </c>
      <c r="O90" t="str">
        <f>IF(TRIM(J90)="","NULL",IFERROR(VLOOKUP(TRIM(J90),Lookup_PropertyType!$A:$B,2,FALSE()),"other"))</f>
        <v>house</v>
      </c>
      <c r="P90">
        <f t="shared" si="1"/>
        <v>0</v>
      </c>
    </row>
    <row r="91" spans="1:16" ht="15.75" customHeight="1" x14ac:dyDescent="0.35">
      <c r="A91" s="13">
        <v>90</v>
      </c>
      <c r="B91" s="14">
        <v>45558</v>
      </c>
      <c r="C91" s="14">
        <v>45592</v>
      </c>
      <c r="D91" s="16" t="s">
        <v>55</v>
      </c>
      <c r="E91" s="17">
        <v>7600</v>
      </c>
      <c r="F91" s="18"/>
      <c r="G91" s="18"/>
      <c r="H91" s="19">
        <v>200000</v>
      </c>
      <c r="I91" s="19">
        <v>80000</v>
      </c>
      <c r="J91" s="20" t="s">
        <v>37</v>
      </c>
      <c r="K91" s="13">
        <v>48</v>
      </c>
      <c r="L91" s="21" t="s">
        <v>38</v>
      </c>
      <c r="M91" s="21" t="s">
        <v>39</v>
      </c>
      <c r="N91" s="16" t="s">
        <v>42</v>
      </c>
      <c r="O91" t="str">
        <f>IF(TRIM(J91)="","NULL",IFERROR(VLOOKUP(TRIM(J91),Lookup_PropertyType!$A:$B,2,FALSE()),"other"))</f>
        <v>house</v>
      </c>
      <c r="P91">
        <f t="shared" si="1"/>
        <v>1</v>
      </c>
    </row>
    <row r="92" spans="1:16" ht="15.75" customHeight="1" x14ac:dyDescent="0.35">
      <c r="A92" s="13">
        <v>91</v>
      </c>
      <c r="B92" s="14">
        <v>45632</v>
      </c>
      <c r="C92" s="15"/>
      <c r="D92" s="16" t="s">
        <v>32</v>
      </c>
      <c r="E92" s="17">
        <v>5900</v>
      </c>
      <c r="F92" s="18"/>
      <c r="G92" s="18"/>
      <c r="H92" s="19">
        <v>300000</v>
      </c>
      <c r="I92" s="19">
        <v>100000</v>
      </c>
      <c r="J92" s="20" t="s">
        <v>33</v>
      </c>
      <c r="K92" s="13">
        <v>61</v>
      </c>
      <c r="L92" s="21" t="s">
        <v>38</v>
      </c>
      <c r="M92" s="21" t="s">
        <v>39</v>
      </c>
      <c r="N92" s="16" t="s">
        <v>43</v>
      </c>
      <c r="O92" t="str">
        <f>IF(TRIM(J92)="","NULL",IFERROR(VLOOKUP(TRIM(J92),Lookup_PropertyType!$A:$B,2,FALSE()),"other"))</f>
        <v>apartment</v>
      </c>
      <c r="P92">
        <f t="shared" si="1"/>
        <v>0</v>
      </c>
    </row>
    <row r="93" spans="1:16" ht="15.75" customHeight="1" x14ac:dyDescent="0.35">
      <c r="A93" s="13">
        <v>92</v>
      </c>
      <c r="B93" s="14">
        <v>45572</v>
      </c>
      <c r="C93" s="14">
        <v>45635</v>
      </c>
      <c r="D93" s="16" t="s">
        <v>57</v>
      </c>
      <c r="E93" s="17">
        <v>30000</v>
      </c>
      <c r="F93" s="18"/>
      <c r="G93" s="18"/>
      <c r="H93" s="19">
        <v>240000</v>
      </c>
      <c r="I93" s="19">
        <v>120000</v>
      </c>
      <c r="J93" s="20" t="s">
        <v>33</v>
      </c>
      <c r="K93" s="13">
        <v>62</v>
      </c>
      <c r="L93" s="21" t="s">
        <v>38</v>
      </c>
      <c r="M93" s="21" t="s">
        <v>39</v>
      </c>
      <c r="N93" s="16" t="s">
        <v>42</v>
      </c>
      <c r="O93" t="str">
        <f>IF(TRIM(J93)="","NULL",IFERROR(VLOOKUP(TRIM(J93),Lookup_PropertyType!$A:$B,2,FALSE()),"other"))</f>
        <v>apartment</v>
      </c>
      <c r="P93">
        <f t="shared" si="1"/>
        <v>1</v>
      </c>
    </row>
    <row r="94" spans="1:16" ht="15.75" customHeight="1" x14ac:dyDescent="0.35">
      <c r="A94" s="13">
        <v>93</v>
      </c>
      <c r="B94" s="14">
        <v>45562</v>
      </c>
      <c r="C94" s="15"/>
      <c r="D94" s="16" t="s">
        <v>44</v>
      </c>
      <c r="E94" s="17">
        <v>38000</v>
      </c>
      <c r="F94" s="18"/>
      <c r="G94" s="18"/>
      <c r="H94" s="19">
        <v>280000</v>
      </c>
      <c r="I94" s="19">
        <v>140000</v>
      </c>
      <c r="J94" s="20" t="s">
        <v>60</v>
      </c>
      <c r="K94" s="13">
        <v>62</v>
      </c>
      <c r="L94" s="21" t="s">
        <v>45</v>
      </c>
      <c r="M94" s="21" t="s">
        <v>39</v>
      </c>
      <c r="N94" s="16" t="s">
        <v>36</v>
      </c>
      <c r="O94" t="str">
        <f>IF(TRIM(J94)="","NULL",IFERROR(VLOOKUP(TRIM(J94),Lookup_PropertyType!$A:$B,2,FALSE()),"other"))</f>
        <v>other</v>
      </c>
      <c r="P94">
        <f t="shared" si="1"/>
        <v>0</v>
      </c>
    </row>
    <row r="95" spans="1:16" ht="15.75" customHeight="1" x14ac:dyDescent="0.35">
      <c r="A95" s="13">
        <v>94</v>
      </c>
      <c r="B95" s="14">
        <v>45666</v>
      </c>
      <c r="C95" s="15"/>
      <c r="D95" s="16" t="s">
        <v>32</v>
      </c>
      <c r="E95" s="17">
        <v>7000</v>
      </c>
      <c r="F95" s="18"/>
      <c r="G95" s="18"/>
      <c r="H95" s="19">
        <v>220000</v>
      </c>
      <c r="I95" s="19">
        <v>30000</v>
      </c>
      <c r="J95" s="20" t="s">
        <v>33</v>
      </c>
      <c r="K95" s="13">
        <v>38</v>
      </c>
      <c r="L95" s="21" t="s">
        <v>38</v>
      </c>
      <c r="M95" s="21" t="s">
        <v>39</v>
      </c>
      <c r="N95" s="16" t="s">
        <v>42</v>
      </c>
      <c r="O95" t="str">
        <f>IF(TRIM(J95)="","NULL",IFERROR(VLOOKUP(TRIM(J95),Lookup_PropertyType!$A:$B,2,FALSE()),"other"))</f>
        <v>apartment</v>
      </c>
      <c r="P95">
        <f t="shared" si="1"/>
        <v>0</v>
      </c>
    </row>
    <row r="96" spans="1:16" ht="15.75" customHeight="1" x14ac:dyDescent="0.35">
      <c r="A96" s="13">
        <v>95</v>
      </c>
      <c r="B96" s="14">
        <v>45579</v>
      </c>
      <c r="C96" s="15"/>
      <c r="D96" s="16" t="s">
        <v>32</v>
      </c>
      <c r="E96" s="17">
        <v>15000</v>
      </c>
      <c r="F96" s="18"/>
      <c r="G96" s="18"/>
      <c r="H96" s="19">
        <v>350000</v>
      </c>
      <c r="I96" s="19">
        <v>70000</v>
      </c>
      <c r="J96" s="20" t="s">
        <v>33</v>
      </c>
      <c r="K96" s="13">
        <v>62</v>
      </c>
      <c r="L96" s="21" t="s">
        <v>38</v>
      </c>
      <c r="M96" s="21" t="s">
        <v>39</v>
      </c>
      <c r="N96" s="16" t="s">
        <v>40</v>
      </c>
      <c r="O96" t="str">
        <f>IF(TRIM(J96)="","NULL",IFERROR(VLOOKUP(TRIM(J96),Lookup_PropertyType!$A:$B,2,FALSE()),"other"))</f>
        <v>apartment</v>
      </c>
      <c r="P96">
        <f t="shared" si="1"/>
        <v>0</v>
      </c>
    </row>
    <row r="97" spans="1:16" ht="15.75" customHeight="1" x14ac:dyDescent="0.35">
      <c r="A97" s="13">
        <v>96</v>
      </c>
      <c r="B97" s="14">
        <v>45596</v>
      </c>
      <c r="C97" s="14">
        <v>45654</v>
      </c>
      <c r="D97" s="16" t="s">
        <v>32</v>
      </c>
      <c r="E97" s="17">
        <v>3921</v>
      </c>
      <c r="F97" s="18"/>
      <c r="G97" s="18"/>
      <c r="H97" s="19">
        <v>350000</v>
      </c>
      <c r="I97" s="19">
        <v>40000</v>
      </c>
      <c r="J97" s="20" t="s">
        <v>37</v>
      </c>
      <c r="K97" s="13">
        <v>39</v>
      </c>
      <c r="L97" s="21" t="s">
        <v>59</v>
      </c>
      <c r="M97" s="21" t="s">
        <v>35</v>
      </c>
      <c r="N97" s="16" t="s">
        <v>42</v>
      </c>
      <c r="O97" t="str">
        <f>IF(TRIM(J97)="","NULL",IFERROR(VLOOKUP(TRIM(J97),Lookup_PropertyType!$A:$B,2,FALSE()),"other"))</f>
        <v>house</v>
      </c>
      <c r="P97">
        <f t="shared" si="1"/>
        <v>1</v>
      </c>
    </row>
    <row r="98" spans="1:16" ht="15.75" customHeight="1" x14ac:dyDescent="0.35">
      <c r="A98" s="13">
        <v>97</v>
      </c>
      <c r="B98" s="14">
        <v>45575</v>
      </c>
      <c r="C98" s="15"/>
      <c r="D98" s="16" t="s">
        <v>32</v>
      </c>
      <c r="E98" s="17">
        <v>22000</v>
      </c>
      <c r="F98" s="18"/>
      <c r="G98" s="18"/>
      <c r="H98" s="19">
        <v>250000</v>
      </c>
      <c r="I98" s="19">
        <v>100000</v>
      </c>
      <c r="J98" s="20" t="s">
        <v>37</v>
      </c>
      <c r="K98" s="13">
        <v>63</v>
      </c>
      <c r="L98" s="21" t="s">
        <v>41</v>
      </c>
      <c r="M98" s="21" t="s">
        <v>39</v>
      </c>
      <c r="N98" s="16" t="s">
        <v>51</v>
      </c>
      <c r="O98" t="str">
        <f>IF(TRIM(J98)="","NULL",IFERROR(VLOOKUP(TRIM(J98),Lookup_PropertyType!$A:$B,2,FALSE()),"other"))</f>
        <v>house</v>
      </c>
      <c r="P98">
        <f t="shared" si="1"/>
        <v>0</v>
      </c>
    </row>
    <row r="99" spans="1:16" ht="15.75" customHeight="1" x14ac:dyDescent="0.35">
      <c r="A99" s="13">
        <v>98</v>
      </c>
      <c r="B99" s="14">
        <v>45593</v>
      </c>
      <c r="C99" s="14">
        <v>45620</v>
      </c>
      <c r="D99" s="16" t="s">
        <v>57</v>
      </c>
      <c r="E99" s="17">
        <v>13000</v>
      </c>
      <c r="F99" s="18"/>
      <c r="G99" s="18"/>
      <c r="H99" s="19">
        <v>950000</v>
      </c>
      <c r="I99" s="19">
        <v>170000</v>
      </c>
      <c r="J99" s="20" t="s">
        <v>33</v>
      </c>
      <c r="K99" s="13">
        <v>50</v>
      </c>
      <c r="L99" s="21" t="s">
        <v>38</v>
      </c>
      <c r="M99" s="21" t="s">
        <v>48</v>
      </c>
      <c r="N99" s="16" t="s">
        <v>50</v>
      </c>
      <c r="O99" t="str">
        <f>IF(TRIM(J99)="","NULL",IFERROR(VLOOKUP(TRIM(J99),Lookup_PropertyType!$A:$B,2,FALSE()),"other"))</f>
        <v>apartment</v>
      </c>
      <c r="P99">
        <f t="shared" si="1"/>
        <v>1</v>
      </c>
    </row>
    <row r="100" spans="1:16" ht="15.75" customHeight="1" x14ac:dyDescent="0.35">
      <c r="A100" s="13">
        <v>99</v>
      </c>
      <c r="B100" s="14">
        <v>45634</v>
      </c>
      <c r="C100" s="15"/>
      <c r="D100" s="16" t="s">
        <v>65</v>
      </c>
      <c r="E100" s="17">
        <v>80000</v>
      </c>
      <c r="F100" s="18"/>
      <c r="G100" s="18"/>
      <c r="H100" s="19">
        <v>800000</v>
      </c>
      <c r="I100" s="19">
        <v>300000</v>
      </c>
      <c r="J100" s="20" t="s">
        <v>33</v>
      </c>
      <c r="K100" s="13">
        <v>64</v>
      </c>
      <c r="L100" s="21" t="s">
        <v>38</v>
      </c>
      <c r="M100" s="21" t="s">
        <v>39</v>
      </c>
      <c r="N100" s="16" t="s">
        <v>50</v>
      </c>
      <c r="O100" t="str">
        <f>IF(TRIM(J100)="","NULL",IFERROR(VLOOKUP(TRIM(J100),Lookup_PropertyType!$A:$B,2,FALSE()),"other"))</f>
        <v>apartment</v>
      </c>
      <c r="P100">
        <f t="shared" si="1"/>
        <v>0</v>
      </c>
    </row>
    <row r="101" spans="1:16" ht="15.75" customHeight="1" x14ac:dyDescent="0.35">
      <c r="A101" s="13">
        <v>100</v>
      </c>
      <c r="B101" s="14">
        <v>45592</v>
      </c>
      <c r="C101" s="15"/>
      <c r="D101" s="16" t="s">
        <v>58</v>
      </c>
      <c r="E101" s="17">
        <v>13000</v>
      </c>
      <c r="F101" s="18"/>
      <c r="G101" s="18"/>
      <c r="H101" s="19">
        <v>450000</v>
      </c>
      <c r="I101" s="19">
        <v>200000</v>
      </c>
      <c r="J101" s="20" t="s">
        <v>33</v>
      </c>
      <c r="K101" s="13">
        <v>38</v>
      </c>
      <c r="L101" s="21" t="s">
        <v>38</v>
      </c>
      <c r="M101" s="21" t="s">
        <v>39</v>
      </c>
      <c r="N101" s="16" t="s">
        <v>42</v>
      </c>
      <c r="O101" t="str">
        <f>IF(TRIM(J101)="","NULL",IFERROR(VLOOKUP(TRIM(J101),Lookup_PropertyType!$A:$B,2,FALSE()),"other"))</f>
        <v>apartment</v>
      </c>
      <c r="P101">
        <f t="shared" si="1"/>
        <v>0</v>
      </c>
    </row>
    <row r="102" spans="1:16" ht="15.75" customHeight="1" x14ac:dyDescent="0.35">
      <c r="A102" s="13">
        <v>101</v>
      </c>
      <c r="B102" s="14">
        <v>45599</v>
      </c>
      <c r="C102" s="14">
        <v>45606</v>
      </c>
      <c r="D102" s="16" t="s">
        <v>32</v>
      </c>
      <c r="E102" s="17">
        <v>6200</v>
      </c>
      <c r="F102" s="18"/>
      <c r="G102" s="18"/>
      <c r="H102" s="19">
        <v>250000</v>
      </c>
      <c r="I102" s="19">
        <v>100000</v>
      </c>
      <c r="J102" s="20" t="s">
        <v>37</v>
      </c>
      <c r="K102" s="13">
        <v>48</v>
      </c>
      <c r="L102" s="21" t="s">
        <v>38</v>
      </c>
      <c r="M102" s="21" t="s">
        <v>39</v>
      </c>
      <c r="N102" s="16" t="s">
        <v>42</v>
      </c>
      <c r="O102" t="str">
        <f>IF(TRIM(J102)="","NULL",IFERROR(VLOOKUP(TRIM(J102),Lookup_PropertyType!$A:$B,2,FALSE()),"other"))</f>
        <v>house</v>
      </c>
      <c r="P102">
        <f t="shared" si="1"/>
        <v>1</v>
      </c>
    </row>
    <row r="103" spans="1:16" ht="15.75" customHeight="1" x14ac:dyDescent="0.35">
      <c r="A103" s="13">
        <v>102</v>
      </c>
      <c r="B103" s="14">
        <v>45565</v>
      </c>
      <c r="C103" s="14">
        <v>45667</v>
      </c>
      <c r="D103" s="16" t="s">
        <v>32</v>
      </c>
      <c r="E103" s="17">
        <v>5000</v>
      </c>
      <c r="F103" s="18"/>
      <c r="G103" s="18"/>
      <c r="H103" s="19">
        <v>300000</v>
      </c>
      <c r="I103" s="19">
        <v>30000</v>
      </c>
      <c r="J103" s="20" t="s">
        <v>33</v>
      </c>
      <c r="K103" s="13">
        <v>34</v>
      </c>
      <c r="L103" s="21" t="s">
        <v>34</v>
      </c>
      <c r="M103" s="21" t="s">
        <v>39</v>
      </c>
      <c r="N103" s="16" t="s">
        <v>42</v>
      </c>
      <c r="O103" t="str">
        <f>IF(TRIM(J103)="","NULL",IFERROR(VLOOKUP(TRIM(J103),Lookup_PropertyType!$A:$B,2,FALSE()),"other"))</f>
        <v>apartment</v>
      </c>
      <c r="P103">
        <f t="shared" si="1"/>
        <v>1</v>
      </c>
    </row>
    <row r="104" spans="1:16" ht="15.75" customHeight="1" x14ac:dyDescent="0.35">
      <c r="A104" s="13">
        <v>103</v>
      </c>
      <c r="B104" s="14">
        <v>45850</v>
      </c>
      <c r="C104" s="14">
        <v>45899</v>
      </c>
      <c r="D104" s="16" t="s">
        <v>32</v>
      </c>
      <c r="E104" s="17">
        <v>21700</v>
      </c>
      <c r="F104" s="18"/>
      <c r="G104" s="18"/>
      <c r="H104" s="19">
        <v>750000</v>
      </c>
      <c r="I104" s="19">
        <v>110000</v>
      </c>
      <c r="J104" s="20" t="s">
        <v>37</v>
      </c>
      <c r="K104" s="13">
        <v>44</v>
      </c>
      <c r="L104" s="21" t="s">
        <v>34</v>
      </c>
      <c r="M104" s="21" t="s">
        <v>54</v>
      </c>
      <c r="N104" s="16" t="s">
        <v>42</v>
      </c>
      <c r="O104" t="str">
        <f>IF(TRIM(J104)="","NULL",IFERROR(VLOOKUP(TRIM(J104),Lookup_PropertyType!$A:$B,2,FALSE()),"other"))</f>
        <v>house</v>
      </c>
      <c r="P104">
        <f t="shared" si="1"/>
        <v>1</v>
      </c>
    </row>
    <row r="105" spans="1:16" ht="15.75" customHeight="1" x14ac:dyDescent="0.35">
      <c r="A105" s="13">
        <v>104</v>
      </c>
      <c r="B105" s="14">
        <v>45957</v>
      </c>
      <c r="C105" s="14">
        <v>46088</v>
      </c>
      <c r="D105" s="16" t="s">
        <v>32</v>
      </c>
      <c r="E105" s="17">
        <v>8500</v>
      </c>
      <c r="F105" s="18"/>
      <c r="G105" s="18"/>
      <c r="H105" s="19">
        <v>480000</v>
      </c>
      <c r="I105" s="19">
        <v>100000</v>
      </c>
      <c r="J105" s="20" t="s">
        <v>37</v>
      </c>
      <c r="K105" s="13">
        <v>49</v>
      </c>
      <c r="L105" s="21" t="s">
        <v>34</v>
      </c>
      <c r="M105" s="21" t="s">
        <v>35</v>
      </c>
      <c r="N105" s="16" t="s">
        <v>36</v>
      </c>
      <c r="O105" t="str">
        <f>IF(TRIM(J105)="","NULL",IFERROR(VLOOKUP(TRIM(J105),Lookup_PropertyType!$A:$B,2,FALSE()),"other"))</f>
        <v>house</v>
      </c>
      <c r="P105">
        <f t="shared" si="1"/>
        <v>1</v>
      </c>
    </row>
    <row r="106" spans="1:16" ht="15.75" customHeight="1" x14ac:dyDescent="0.35">
      <c r="A106" s="13">
        <v>105</v>
      </c>
      <c r="B106" s="14">
        <v>45617</v>
      </c>
      <c r="C106" s="15"/>
      <c r="D106" s="16" t="s">
        <v>32</v>
      </c>
      <c r="E106" s="17">
        <v>12400</v>
      </c>
      <c r="F106" s="18"/>
      <c r="G106" s="18"/>
      <c r="H106" s="19">
        <v>450000</v>
      </c>
      <c r="I106" s="19">
        <v>30000</v>
      </c>
      <c r="J106" s="20" t="s">
        <v>37</v>
      </c>
      <c r="K106" s="13">
        <v>54</v>
      </c>
      <c r="L106" s="21" t="s">
        <v>41</v>
      </c>
      <c r="M106" s="21" t="s">
        <v>39</v>
      </c>
      <c r="N106" s="16" t="s">
        <v>42</v>
      </c>
      <c r="O106" t="str">
        <f>IF(TRIM(J106)="","NULL",IFERROR(VLOOKUP(TRIM(J106),Lookup_PropertyType!$A:$B,2,FALSE()),"other"))</f>
        <v>house</v>
      </c>
      <c r="P106">
        <f t="shared" si="1"/>
        <v>0</v>
      </c>
    </row>
    <row r="107" spans="1:16" ht="15.75" customHeight="1" x14ac:dyDescent="0.35">
      <c r="A107" s="13">
        <v>106</v>
      </c>
      <c r="B107" s="14">
        <v>45604</v>
      </c>
      <c r="C107" s="14">
        <v>45556</v>
      </c>
      <c r="D107" s="16" t="s">
        <v>44</v>
      </c>
      <c r="E107" s="17">
        <v>24000</v>
      </c>
      <c r="F107" s="18"/>
      <c r="G107" s="18"/>
      <c r="H107" s="19">
        <v>800000</v>
      </c>
      <c r="I107" s="19">
        <v>150000</v>
      </c>
      <c r="J107" s="20" t="s">
        <v>37</v>
      </c>
      <c r="K107" s="13">
        <v>46</v>
      </c>
      <c r="L107" s="21" t="s">
        <v>41</v>
      </c>
      <c r="M107" s="21" t="s">
        <v>39</v>
      </c>
      <c r="N107" s="16" t="s">
        <v>42</v>
      </c>
      <c r="O107" t="str">
        <f>IF(TRIM(J107)="","NULL",IFERROR(VLOOKUP(TRIM(J107),Lookup_PropertyType!$A:$B,2,FALSE()),"other"))</f>
        <v>house</v>
      </c>
      <c r="P107">
        <f t="shared" si="1"/>
        <v>0</v>
      </c>
    </row>
    <row r="108" spans="1:16" ht="15.75" customHeight="1" x14ac:dyDescent="0.35">
      <c r="A108" s="13">
        <v>107</v>
      </c>
      <c r="B108" s="14">
        <v>45605</v>
      </c>
      <c r="C108" s="15"/>
      <c r="D108" s="16" t="s">
        <v>49</v>
      </c>
      <c r="E108" s="17">
        <v>4225</v>
      </c>
      <c r="F108" s="18"/>
      <c r="G108" s="18"/>
      <c r="H108" s="19">
        <v>200000</v>
      </c>
      <c r="I108" s="19">
        <v>30000</v>
      </c>
      <c r="J108" s="20" t="s">
        <v>37</v>
      </c>
      <c r="K108" s="13">
        <v>38</v>
      </c>
      <c r="L108" s="21" t="s">
        <v>59</v>
      </c>
      <c r="M108" s="21" t="s">
        <v>39</v>
      </c>
      <c r="N108" s="16" t="s">
        <v>42</v>
      </c>
      <c r="O108" t="str">
        <f>IF(TRIM(J108)="","NULL",IFERROR(VLOOKUP(TRIM(J108),Lookup_PropertyType!$A:$B,2,FALSE()),"other"))</f>
        <v>house</v>
      </c>
      <c r="P108">
        <f t="shared" si="1"/>
        <v>0</v>
      </c>
    </row>
    <row r="109" spans="1:16" ht="15.75" customHeight="1" x14ac:dyDescent="0.35">
      <c r="A109" s="13">
        <v>108</v>
      </c>
      <c r="B109" s="14">
        <v>45575</v>
      </c>
      <c r="C109" s="15"/>
      <c r="D109" s="16" t="s">
        <v>32</v>
      </c>
      <c r="E109" s="17">
        <v>4500</v>
      </c>
      <c r="F109" s="18"/>
      <c r="G109" s="18"/>
      <c r="H109" s="19">
        <v>200000</v>
      </c>
      <c r="I109" s="19">
        <v>75000</v>
      </c>
      <c r="J109" s="20" t="s">
        <v>33</v>
      </c>
      <c r="K109" s="13">
        <v>29</v>
      </c>
      <c r="L109" s="21" t="s">
        <v>45</v>
      </c>
      <c r="M109" s="21" t="s">
        <v>48</v>
      </c>
      <c r="N109" s="16" t="s">
        <v>36</v>
      </c>
      <c r="O109" t="str">
        <f>IF(TRIM(J109)="","NULL",IFERROR(VLOOKUP(TRIM(J109),Lookup_PropertyType!$A:$B,2,FALSE()),"other"))</f>
        <v>apartment</v>
      </c>
      <c r="P109">
        <f t="shared" si="1"/>
        <v>0</v>
      </c>
    </row>
    <row r="110" spans="1:16" ht="15.75" customHeight="1" x14ac:dyDescent="0.35">
      <c r="A110" s="13">
        <v>109</v>
      </c>
      <c r="B110" s="14">
        <v>45634</v>
      </c>
      <c r="C110" s="14">
        <v>45648</v>
      </c>
      <c r="D110" s="16" t="s">
        <v>66</v>
      </c>
      <c r="E110" s="17">
        <v>6000</v>
      </c>
      <c r="F110" s="18"/>
      <c r="G110" s="18"/>
      <c r="H110" s="19">
        <v>180000</v>
      </c>
      <c r="I110" s="19">
        <v>30000</v>
      </c>
      <c r="J110" s="20" t="s">
        <v>33</v>
      </c>
      <c r="K110" s="13">
        <v>51</v>
      </c>
      <c r="L110" s="21" t="s">
        <v>45</v>
      </c>
      <c r="M110" s="21" t="s">
        <v>39</v>
      </c>
      <c r="N110" s="16" t="s">
        <v>42</v>
      </c>
      <c r="O110" t="str">
        <f>IF(TRIM(J110)="","NULL",IFERROR(VLOOKUP(TRIM(J110),Lookup_PropertyType!$A:$B,2,FALSE()),"other"))</f>
        <v>apartment</v>
      </c>
      <c r="P110">
        <f t="shared" si="1"/>
        <v>1</v>
      </c>
    </row>
    <row r="111" spans="1:16" ht="15.75" customHeight="1" x14ac:dyDescent="0.35">
      <c r="A111" s="13">
        <v>110</v>
      </c>
      <c r="B111" s="14">
        <v>46031</v>
      </c>
      <c r="C111" s="15"/>
      <c r="D111" s="16" t="s">
        <v>32</v>
      </c>
      <c r="E111" s="17">
        <v>15000</v>
      </c>
      <c r="F111" s="13">
        <v>180</v>
      </c>
      <c r="G111" s="18"/>
      <c r="H111" s="19">
        <v>450000</v>
      </c>
      <c r="I111" s="19">
        <v>50000</v>
      </c>
      <c r="J111" s="20" t="s">
        <v>37</v>
      </c>
      <c r="K111" s="13">
        <v>59</v>
      </c>
      <c r="L111" s="21" t="s">
        <v>38</v>
      </c>
      <c r="M111" s="21" t="s">
        <v>39</v>
      </c>
      <c r="N111" s="16" t="s">
        <v>36</v>
      </c>
      <c r="O111" t="str">
        <f>IF(TRIM(J111)="","NULL",IFERROR(VLOOKUP(TRIM(J111),Lookup_PropertyType!$A:$B,2,FALSE()),"other"))</f>
        <v>house</v>
      </c>
      <c r="P111">
        <f t="shared" si="1"/>
        <v>0</v>
      </c>
    </row>
    <row r="112" spans="1:16" ht="15.75" customHeight="1" x14ac:dyDescent="0.35">
      <c r="A112" s="13">
        <v>111</v>
      </c>
      <c r="B112" s="14">
        <v>45647</v>
      </c>
      <c r="C112" s="15"/>
      <c r="D112" s="16" t="s">
        <v>32</v>
      </c>
      <c r="E112" s="17">
        <v>11000</v>
      </c>
      <c r="F112" s="18"/>
      <c r="G112" s="18"/>
      <c r="H112" s="19">
        <v>600000</v>
      </c>
      <c r="I112" s="19">
        <v>200000</v>
      </c>
      <c r="J112" s="20" t="s">
        <v>33</v>
      </c>
      <c r="K112" s="13">
        <v>49</v>
      </c>
      <c r="L112" s="21" t="s">
        <v>41</v>
      </c>
      <c r="M112" s="21" t="s">
        <v>39</v>
      </c>
      <c r="N112" s="16" t="s">
        <v>36</v>
      </c>
      <c r="O112" t="str">
        <f>IF(TRIM(J112)="","NULL",IFERROR(VLOOKUP(TRIM(J112),Lookup_PropertyType!$A:$B,2,FALSE()),"other"))</f>
        <v>apartment</v>
      </c>
      <c r="P112">
        <f t="shared" si="1"/>
        <v>0</v>
      </c>
    </row>
    <row r="113" spans="1:16" ht="15.75" customHeight="1" x14ac:dyDescent="0.35">
      <c r="A113" s="13">
        <v>112</v>
      </c>
      <c r="B113" s="14">
        <v>45617</v>
      </c>
      <c r="C113" s="14">
        <v>45681</v>
      </c>
      <c r="D113" s="16" t="s">
        <v>66</v>
      </c>
      <c r="E113" s="17">
        <v>20000</v>
      </c>
      <c r="F113" s="18"/>
      <c r="G113" s="18"/>
      <c r="H113" s="19">
        <v>350000</v>
      </c>
      <c r="I113" s="19">
        <v>100000</v>
      </c>
      <c r="J113" s="20" t="s">
        <v>37</v>
      </c>
      <c r="K113" s="13">
        <v>38</v>
      </c>
      <c r="L113" s="21" t="s">
        <v>45</v>
      </c>
      <c r="M113" s="21" t="s">
        <v>39</v>
      </c>
      <c r="N113" s="16" t="s">
        <v>36</v>
      </c>
      <c r="O113" t="str">
        <f>IF(TRIM(J113)="","NULL",IFERROR(VLOOKUP(TRIM(J113),Lookup_PropertyType!$A:$B,2,FALSE()),"other"))</f>
        <v>house</v>
      </c>
      <c r="P113">
        <f t="shared" si="1"/>
        <v>1</v>
      </c>
    </row>
    <row r="114" spans="1:16" ht="15.75" customHeight="1" x14ac:dyDescent="0.35">
      <c r="A114" s="13">
        <v>113</v>
      </c>
      <c r="B114" s="14">
        <v>45639</v>
      </c>
      <c r="C114" s="15"/>
      <c r="D114" s="16" t="s">
        <v>58</v>
      </c>
      <c r="E114" s="17">
        <v>120000</v>
      </c>
      <c r="F114" s="18"/>
      <c r="G114" s="18"/>
      <c r="H114" s="19">
        <v>1000000</v>
      </c>
      <c r="I114" s="19">
        <v>250000</v>
      </c>
      <c r="J114" s="20" t="s">
        <v>33</v>
      </c>
      <c r="K114" s="13">
        <v>55</v>
      </c>
      <c r="L114" s="21" t="s">
        <v>41</v>
      </c>
      <c r="M114" s="21" t="s">
        <v>54</v>
      </c>
      <c r="N114" s="16" t="s">
        <v>42</v>
      </c>
      <c r="O114" t="str">
        <f>IF(TRIM(J114)="","NULL",IFERROR(VLOOKUP(TRIM(J114),Lookup_PropertyType!$A:$B,2,FALSE()),"other"))</f>
        <v>apartment</v>
      </c>
      <c r="P114">
        <f t="shared" si="1"/>
        <v>0</v>
      </c>
    </row>
    <row r="115" spans="1:16" ht="15.75" customHeight="1" x14ac:dyDescent="0.35">
      <c r="A115" s="13">
        <v>114</v>
      </c>
      <c r="B115" s="14">
        <v>45614</v>
      </c>
      <c r="C115" s="14">
        <v>45666</v>
      </c>
      <c r="D115" s="16" t="s">
        <v>58</v>
      </c>
      <c r="E115" s="17">
        <v>26000</v>
      </c>
      <c r="F115" s="18"/>
      <c r="G115" s="18"/>
      <c r="H115" s="19">
        <v>850000</v>
      </c>
      <c r="I115" s="19">
        <v>150000</v>
      </c>
      <c r="J115" s="20" t="s">
        <v>33</v>
      </c>
      <c r="K115" s="13">
        <v>43</v>
      </c>
      <c r="L115" s="21" t="s">
        <v>38</v>
      </c>
      <c r="M115" s="21" t="s">
        <v>54</v>
      </c>
      <c r="N115" s="16" t="s">
        <v>42</v>
      </c>
      <c r="O115" t="str">
        <f>IF(TRIM(J115)="","NULL",IFERROR(VLOOKUP(TRIM(J115),Lookup_PropertyType!$A:$B,2,FALSE()),"other"))</f>
        <v>apartment</v>
      </c>
      <c r="P115">
        <f t="shared" si="1"/>
        <v>1</v>
      </c>
    </row>
    <row r="116" spans="1:16" ht="15.75" customHeight="1" x14ac:dyDescent="0.35">
      <c r="A116" s="13">
        <v>115</v>
      </c>
      <c r="B116" s="14">
        <v>45771</v>
      </c>
      <c r="C116" s="15"/>
      <c r="D116" s="16" t="s">
        <v>32</v>
      </c>
      <c r="E116" s="17">
        <v>34000</v>
      </c>
      <c r="F116" s="18"/>
      <c r="G116" s="18"/>
      <c r="H116" s="19">
        <v>600000</v>
      </c>
      <c r="I116" s="19">
        <v>300000</v>
      </c>
      <c r="J116" s="20" t="s">
        <v>37</v>
      </c>
      <c r="K116" s="13">
        <v>43</v>
      </c>
      <c r="L116" s="21" t="s">
        <v>64</v>
      </c>
      <c r="M116" s="21" t="s">
        <v>39</v>
      </c>
      <c r="N116" s="16" t="s">
        <v>42</v>
      </c>
      <c r="O116" t="str">
        <f>IF(TRIM(J116)="","NULL",IFERROR(VLOOKUP(TRIM(J116),Lookup_PropertyType!$A:$B,2,FALSE()),"other"))</f>
        <v>house</v>
      </c>
      <c r="P116">
        <f t="shared" si="1"/>
        <v>0</v>
      </c>
    </row>
    <row r="117" spans="1:16" ht="15.75" customHeight="1" x14ac:dyDescent="0.35">
      <c r="A117" s="13">
        <v>116</v>
      </c>
      <c r="B117" s="14">
        <v>45635</v>
      </c>
      <c r="C117" s="14">
        <v>45666</v>
      </c>
      <c r="D117" s="16" t="s">
        <v>32</v>
      </c>
      <c r="E117" s="17">
        <v>35000</v>
      </c>
      <c r="F117" s="18"/>
      <c r="G117" s="18"/>
      <c r="H117" s="19">
        <v>850000</v>
      </c>
      <c r="I117" s="19">
        <v>450000</v>
      </c>
      <c r="J117" s="20" t="s">
        <v>37</v>
      </c>
      <c r="K117" s="13">
        <v>64</v>
      </c>
      <c r="L117" s="21" t="s">
        <v>38</v>
      </c>
      <c r="M117" s="21" t="s">
        <v>39</v>
      </c>
      <c r="N117" s="16" t="s">
        <v>36</v>
      </c>
      <c r="O117" t="str">
        <f>IF(TRIM(J117)="","NULL",IFERROR(VLOOKUP(TRIM(J117),Lookup_PropertyType!$A:$B,2,FALSE()),"other"))</f>
        <v>house</v>
      </c>
      <c r="P117">
        <f t="shared" si="1"/>
        <v>1</v>
      </c>
    </row>
    <row r="118" spans="1:16" ht="15.75" customHeight="1" x14ac:dyDescent="0.35">
      <c r="A118" s="13">
        <v>117</v>
      </c>
      <c r="B118" s="14">
        <v>45592</v>
      </c>
      <c r="C118" s="15"/>
      <c r="D118" s="16" t="s">
        <v>58</v>
      </c>
      <c r="E118" s="17">
        <v>23000</v>
      </c>
      <c r="F118" s="18"/>
      <c r="G118" s="18"/>
      <c r="H118" s="19">
        <v>200000</v>
      </c>
      <c r="I118" s="19">
        <v>50000</v>
      </c>
      <c r="J118" s="20" t="s">
        <v>33</v>
      </c>
      <c r="K118" s="13">
        <v>54</v>
      </c>
      <c r="L118" s="21" t="s">
        <v>38</v>
      </c>
      <c r="M118" s="21" t="s">
        <v>39</v>
      </c>
      <c r="N118" s="16" t="s">
        <v>50</v>
      </c>
      <c r="O118" t="str">
        <f>IF(TRIM(J118)="","NULL",IFERROR(VLOOKUP(TRIM(J118),Lookup_PropertyType!$A:$B,2,FALSE()),"other"))</f>
        <v>apartment</v>
      </c>
      <c r="P118">
        <f t="shared" si="1"/>
        <v>0</v>
      </c>
    </row>
    <row r="119" spans="1:16" ht="15.75" customHeight="1" x14ac:dyDescent="0.35">
      <c r="A119" s="13">
        <v>118</v>
      </c>
      <c r="B119" s="14">
        <v>45610</v>
      </c>
      <c r="C119" s="15"/>
      <c r="D119" s="16" t="s">
        <v>46</v>
      </c>
      <c r="E119" s="17">
        <v>6800</v>
      </c>
      <c r="F119" s="18"/>
      <c r="G119" s="18"/>
      <c r="H119" s="19">
        <v>700000</v>
      </c>
      <c r="I119" s="19">
        <v>40000</v>
      </c>
      <c r="J119" s="20" t="s">
        <v>33</v>
      </c>
      <c r="K119" s="13">
        <v>35</v>
      </c>
      <c r="L119" s="21" t="s">
        <v>34</v>
      </c>
      <c r="M119" s="21" t="s">
        <v>48</v>
      </c>
      <c r="N119" s="16" t="s">
        <v>50</v>
      </c>
      <c r="O119" t="str">
        <f>IF(TRIM(J119)="","NULL",IFERROR(VLOOKUP(TRIM(J119),Lookup_PropertyType!$A:$B,2,FALSE()),"other"))</f>
        <v>apartment</v>
      </c>
      <c r="P119">
        <f t="shared" si="1"/>
        <v>0</v>
      </c>
    </row>
    <row r="120" spans="1:16" ht="15.75" customHeight="1" x14ac:dyDescent="0.35">
      <c r="A120" s="13">
        <v>119</v>
      </c>
      <c r="B120" s="14">
        <v>45625</v>
      </c>
      <c r="C120" s="15"/>
      <c r="D120" s="16" t="s">
        <v>32</v>
      </c>
      <c r="E120" s="17">
        <v>15000</v>
      </c>
      <c r="F120" s="18"/>
      <c r="G120" s="18"/>
      <c r="H120" s="19">
        <v>600000</v>
      </c>
      <c r="I120" s="19">
        <v>280000</v>
      </c>
      <c r="J120" s="20" t="s">
        <v>37</v>
      </c>
      <c r="K120" s="13">
        <v>69</v>
      </c>
      <c r="L120" s="21" t="s">
        <v>41</v>
      </c>
      <c r="M120" s="21" t="s">
        <v>39</v>
      </c>
      <c r="N120" s="16" t="s">
        <v>36</v>
      </c>
      <c r="O120" t="str">
        <f>IF(TRIM(J120)="","NULL",IFERROR(VLOOKUP(TRIM(J120),Lookup_PropertyType!$A:$B,2,FALSE()),"other"))</f>
        <v>house</v>
      </c>
      <c r="P120">
        <f t="shared" si="1"/>
        <v>0</v>
      </c>
    </row>
    <row r="121" spans="1:16" ht="15.75" customHeight="1" x14ac:dyDescent="0.35">
      <c r="A121" s="13">
        <v>120</v>
      </c>
      <c r="B121" s="14">
        <v>45617</v>
      </c>
      <c r="C121" s="15"/>
      <c r="D121" s="16" t="s">
        <v>32</v>
      </c>
      <c r="E121" s="17">
        <v>9500</v>
      </c>
      <c r="F121" s="18"/>
      <c r="G121" s="18"/>
      <c r="H121" s="19">
        <v>450000</v>
      </c>
      <c r="I121" s="19">
        <v>140000</v>
      </c>
      <c r="J121" s="20" t="s">
        <v>33</v>
      </c>
      <c r="K121" s="13">
        <v>42</v>
      </c>
      <c r="L121" s="21" t="s">
        <v>45</v>
      </c>
      <c r="M121" s="21" t="s">
        <v>39</v>
      </c>
      <c r="N121" s="16" t="s">
        <v>42</v>
      </c>
      <c r="O121" t="str">
        <f>IF(TRIM(J121)="","NULL",IFERROR(VLOOKUP(TRIM(J121),Lookup_PropertyType!$A:$B,2,FALSE()),"other"))</f>
        <v>apartment</v>
      </c>
      <c r="P121">
        <f t="shared" si="1"/>
        <v>0</v>
      </c>
    </row>
    <row r="122" spans="1:16" ht="15.75" customHeight="1" x14ac:dyDescent="0.35">
      <c r="A122" s="13">
        <v>121</v>
      </c>
      <c r="B122" s="14">
        <v>45614</v>
      </c>
      <c r="C122" s="14">
        <v>45670</v>
      </c>
      <c r="D122" s="16" t="s">
        <v>32</v>
      </c>
      <c r="E122" s="17">
        <v>5800</v>
      </c>
      <c r="F122" s="18"/>
      <c r="G122" s="18"/>
      <c r="H122" s="19">
        <v>120000</v>
      </c>
      <c r="I122" s="19">
        <v>50000</v>
      </c>
      <c r="J122" s="20" t="s">
        <v>60</v>
      </c>
      <c r="K122" s="13">
        <v>36</v>
      </c>
      <c r="L122" s="21" t="s">
        <v>38</v>
      </c>
      <c r="M122" s="21" t="s">
        <v>39</v>
      </c>
      <c r="N122" s="16" t="s">
        <v>42</v>
      </c>
      <c r="O122" t="str">
        <f>IF(TRIM(J122)="","NULL",IFERROR(VLOOKUP(TRIM(J122),Lookup_PropertyType!$A:$B,2,FALSE()),"other"))</f>
        <v>other</v>
      </c>
      <c r="P122">
        <f t="shared" si="1"/>
        <v>1</v>
      </c>
    </row>
    <row r="123" spans="1:16" ht="15.75" customHeight="1" x14ac:dyDescent="0.35">
      <c r="A123" s="13">
        <v>122</v>
      </c>
      <c r="B123" s="14">
        <v>45863</v>
      </c>
      <c r="C123" s="15"/>
      <c r="D123" s="16" t="s">
        <v>58</v>
      </c>
      <c r="E123" s="17">
        <v>10000</v>
      </c>
      <c r="F123" s="18"/>
      <c r="G123" s="18"/>
      <c r="H123" s="19">
        <v>200000</v>
      </c>
      <c r="I123" s="19">
        <v>120000</v>
      </c>
      <c r="J123" s="20" t="s">
        <v>53</v>
      </c>
      <c r="K123" s="13">
        <v>30</v>
      </c>
      <c r="L123" s="21" t="s">
        <v>45</v>
      </c>
      <c r="M123" s="21" t="s">
        <v>54</v>
      </c>
      <c r="N123" s="16" t="s">
        <v>51</v>
      </c>
      <c r="O123" t="str">
        <f>IF(TRIM(J123)="","NULL",IFERROR(VLOOKUP(TRIM(J123),Lookup_PropertyType!$A:$B,2,FALSE()),"other"))</f>
        <v>other</v>
      </c>
      <c r="P123">
        <f t="shared" si="1"/>
        <v>0</v>
      </c>
    </row>
    <row r="124" spans="1:16" ht="15.75" customHeight="1" x14ac:dyDescent="0.35">
      <c r="A124" s="13">
        <v>123</v>
      </c>
      <c r="B124" s="14">
        <v>45596</v>
      </c>
      <c r="C124" s="14">
        <v>45613</v>
      </c>
      <c r="D124" s="16" t="s">
        <v>32</v>
      </c>
      <c r="E124" s="17">
        <v>7000</v>
      </c>
      <c r="F124" s="18"/>
      <c r="G124" s="18"/>
      <c r="H124" s="19">
        <v>350000</v>
      </c>
      <c r="I124" s="19">
        <v>70000</v>
      </c>
      <c r="J124" s="20" t="s">
        <v>33</v>
      </c>
      <c r="K124" s="13">
        <v>45</v>
      </c>
      <c r="L124" s="21" t="s">
        <v>34</v>
      </c>
      <c r="M124" s="21" t="s">
        <v>54</v>
      </c>
      <c r="N124" s="16" t="s">
        <v>42</v>
      </c>
      <c r="O124" t="str">
        <f>IF(TRIM(J124)="","NULL",IFERROR(VLOOKUP(TRIM(J124),Lookup_PropertyType!$A:$B,2,FALSE()),"other"))</f>
        <v>apartment</v>
      </c>
      <c r="P124">
        <f t="shared" si="1"/>
        <v>1</v>
      </c>
    </row>
    <row r="125" spans="1:16" ht="15.75" customHeight="1" x14ac:dyDescent="0.35">
      <c r="A125" s="13">
        <v>124</v>
      </c>
      <c r="B125" s="14">
        <v>45619</v>
      </c>
      <c r="C125" s="14">
        <v>45663</v>
      </c>
      <c r="D125" s="16" t="s">
        <v>49</v>
      </c>
      <c r="E125" s="17">
        <v>5600</v>
      </c>
      <c r="F125" s="18"/>
      <c r="G125" s="18"/>
      <c r="H125" s="19">
        <v>150000</v>
      </c>
      <c r="I125" s="19">
        <v>35000</v>
      </c>
      <c r="J125" s="20" t="s">
        <v>33</v>
      </c>
      <c r="K125" s="13">
        <v>43</v>
      </c>
      <c r="L125" s="21" t="s">
        <v>38</v>
      </c>
      <c r="M125" s="21" t="s">
        <v>39</v>
      </c>
      <c r="N125" s="16" t="s">
        <v>42</v>
      </c>
      <c r="O125" t="str">
        <f>IF(TRIM(J125)="","NULL",IFERROR(VLOOKUP(TRIM(J125),Lookup_PropertyType!$A:$B,2,FALSE()),"other"))</f>
        <v>apartment</v>
      </c>
      <c r="P125">
        <f t="shared" si="1"/>
        <v>1</v>
      </c>
    </row>
    <row r="126" spans="1:16" ht="15.75" customHeight="1" x14ac:dyDescent="0.35">
      <c r="A126" s="13">
        <v>125</v>
      </c>
      <c r="B126" s="14">
        <v>45663</v>
      </c>
      <c r="C126" s="14">
        <v>45623</v>
      </c>
      <c r="D126" s="16" t="s">
        <v>49</v>
      </c>
      <c r="E126" s="17">
        <v>20000</v>
      </c>
      <c r="F126" s="18"/>
      <c r="G126" s="18"/>
      <c r="H126" s="19">
        <v>350000</v>
      </c>
      <c r="I126" s="19">
        <v>150000</v>
      </c>
      <c r="J126" s="20" t="s">
        <v>33</v>
      </c>
      <c r="K126" s="13">
        <v>73</v>
      </c>
      <c r="L126" s="21" t="s">
        <v>38</v>
      </c>
      <c r="M126" s="21" t="s">
        <v>39</v>
      </c>
      <c r="N126" s="16" t="s">
        <v>51</v>
      </c>
      <c r="O126" t="str">
        <f>IF(TRIM(J126)="","NULL",IFERROR(VLOOKUP(TRIM(J126),Lookup_PropertyType!$A:$B,2,FALSE()),"other"))</f>
        <v>apartment</v>
      </c>
      <c r="P126">
        <f t="shared" si="1"/>
        <v>0</v>
      </c>
    </row>
    <row r="127" spans="1:16" ht="15.75" customHeight="1" x14ac:dyDescent="0.35">
      <c r="A127" s="13">
        <v>126</v>
      </c>
      <c r="B127" s="14">
        <v>45604</v>
      </c>
      <c r="C127" s="15"/>
      <c r="D127" s="16" t="s">
        <v>32</v>
      </c>
      <c r="E127" s="17">
        <v>7000</v>
      </c>
      <c r="F127" s="18"/>
      <c r="G127" s="18"/>
      <c r="H127" s="19">
        <v>250000</v>
      </c>
      <c r="I127" s="19">
        <v>94000</v>
      </c>
      <c r="J127" s="20" t="s">
        <v>37</v>
      </c>
      <c r="K127" s="13">
        <v>40</v>
      </c>
      <c r="L127" s="21" t="s">
        <v>41</v>
      </c>
      <c r="M127" s="21" t="s">
        <v>39</v>
      </c>
      <c r="N127" s="16" t="s">
        <v>42</v>
      </c>
      <c r="O127" t="str">
        <f>IF(TRIM(J127)="","NULL",IFERROR(VLOOKUP(TRIM(J127),Lookup_PropertyType!$A:$B,2,FALSE()),"other"))</f>
        <v>house</v>
      </c>
      <c r="P127">
        <f t="shared" si="1"/>
        <v>0</v>
      </c>
    </row>
    <row r="128" spans="1:16" ht="15.75" customHeight="1" x14ac:dyDescent="0.35">
      <c r="A128" s="13">
        <v>127</v>
      </c>
      <c r="B128" s="14">
        <v>45593</v>
      </c>
      <c r="C128" s="14">
        <v>45642</v>
      </c>
      <c r="D128" s="16" t="s">
        <v>32</v>
      </c>
      <c r="E128" s="17">
        <v>4711</v>
      </c>
      <c r="F128" s="18"/>
      <c r="G128" s="18"/>
      <c r="H128" s="19">
        <v>300000</v>
      </c>
      <c r="I128" s="19">
        <v>88000</v>
      </c>
      <c r="J128" s="20" t="s">
        <v>37</v>
      </c>
      <c r="K128" s="13">
        <v>48</v>
      </c>
      <c r="L128" s="21" t="s">
        <v>38</v>
      </c>
      <c r="M128" s="21" t="s">
        <v>39</v>
      </c>
      <c r="N128" s="16" t="s">
        <v>42</v>
      </c>
      <c r="O128" t="str">
        <f>IF(TRIM(J128)="","NULL",IFERROR(VLOOKUP(TRIM(J128),Lookup_PropertyType!$A:$B,2,FALSE()),"other"))</f>
        <v>house</v>
      </c>
      <c r="P128">
        <f t="shared" si="1"/>
        <v>1</v>
      </c>
    </row>
    <row r="129" spans="1:16" ht="15.75" customHeight="1" x14ac:dyDescent="0.35">
      <c r="A129" s="13">
        <v>128</v>
      </c>
      <c r="B129" s="14">
        <v>45771</v>
      </c>
      <c r="C129" s="15"/>
      <c r="D129" s="16" t="s">
        <v>32</v>
      </c>
      <c r="E129" s="17">
        <v>4500</v>
      </c>
      <c r="F129" s="18"/>
      <c r="G129" s="18"/>
      <c r="H129" s="19">
        <v>890000</v>
      </c>
      <c r="I129" s="19">
        <v>50000</v>
      </c>
      <c r="J129" s="20" t="s">
        <v>37</v>
      </c>
      <c r="K129" s="13">
        <v>67</v>
      </c>
      <c r="L129" s="21" t="s">
        <v>59</v>
      </c>
      <c r="M129" s="21" t="s">
        <v>39</v>
      </c>
      <c r="N129" s="16" t="s">
        <v>43</v>
      </c>
      <c r="O129" t="str">
        <f>IF(TRIM(J129)="","NULL",IFERROR(VLOOKUP(TRIM(J129),Lookup_PropertyType!$A:$B,2,FALSE()),"other"))</f>
        <v>house</v>
      </c>
      <c r="P129">
        <f t="shared" si="1"/>
        <v>0</v>
      </c>
    </row>
    <row r="130" spans="1:16" ht="15.75" customHeight="1" x14ac:dyDescent="0.35">
      <c r="A130" s="13">
        <v>129</v>
      </c>
      <c r="B130" s="14">
        <v>45646</v>
      </c>
      <c r="C130" s="14">
        <v>45689</v>
      </c>
      <c r="D130" s="16" t="s">
        <v>32</v>
      </c>
      <c r="E130" s="17">
        <v>24000</v>
      </c>
      <c r="F130" s="18"/>
      <c r="G130" s="18"/>
      <c r="H130" s="19">
        <v>350000</v>
      </c>
      <c r="I130" s="19">
        <v>180000</v>
      </c>
      <c r="J130" s="20" t="s">
        <v>33</v>
      </c>
      <c r="K130" s="13">
        <v>57</v>
      </c>
      <c r="L130" s="21" t="s">
        <v>38</v>
      </c>
      <c r="M130" s="21" t="s">
        <v>54</v>
      </c>
      <c r="N130" s="16" t="s">
        <v>51</v>
      </c>
      <c r="O130" t="str">
        <f>IF(TRIM(J130)="","NULL",IFERROR(VLOOKUP(TRIM(J130),Lookup_PropertyType!$A:$B,2,FALSE()),"other"))</f>
        <v>apartment</v>
      </c>
      <c r="P130">
        <f t="shared" ref="P130:P193" si="2">IF(AND(C130&lt;&gt;"",C130&gt;=B130),1,0)</f>
        <v>1</v>
      </c>
    </row>
    <row r="131" spans="1:16" ht="15.75" customHeight="1" x14ac:dyDescent="0.35">
      <c r="A131" s="13">
        <v>130</v>
      </c>
      <c r="B131" s="14">
        <v>45754</v>
      </c>
      <c r="C131" s="15"/>
      <c r="D131" s="16" t="s">
        <v>32</v>
      </c>
      <c r="E131" s="17">
        <v>3000</v>
      </c>
      <c r="F131" s="18"/>
      <c r="G131" s="18"/>
      <c r="H131" s="19">
        <v>200000</v>
      </c>
      <c r="I131" s="19">
        <v>30000</v>
      </c>
      <c r="J131" s="20"/>
      <c r="K131" s="13">
        <v>51</v>
      </c>
      <c r="L131" s="21" t="s">
        <v>38</v>
      </c>
      <c r="M131" s="21" t="s">
        <v>67</v>
      </c>
      <c r="N131" s="16" t="s">
        <v>42</v>
      </c>
      <c r="O131" t="str">
        <f>IF(TRIM(J131)="","NULL",IFERROR(VLOOKUP(TRIM(J131),Lookup_PropertyType!$A:$B,2,FALSE()),"other"))</f>
        <v>NULL</v>
      </c>
      <c r="P131">
        <f t="shared" si="2"/>
        <v>0</v>
      </c>
    </row>
    <row r="132" spans="1:16" ht="15.75" customHeight="1" x14ac:dyDescent="0.35">
      <c r="A132" s="13">
        <v>131</v>
      </c>
      <c r="B132" s="14">
        <v>45652</v>
      </c>
      <c r="C132" s="14">
        <v>45701</v>
      </c>
      <c r="D132" s="16" t="s">
        <v>58</v>
      </c>
      <c r="E132" s="17">
        <v>26000</v>
      </c>
      <c r="F132" s="18"/>
      <c r="G132" s="18"/>
      <c r="H132" s="19">
        <v>450000</v>
      </c>
      <c r="I132" s="19">
        <v>130000</v>
      </c>
      <c r="J132" s="20" t="s">
        <v>37</v>
      </c>
      <c r="K132" s="13">
        <v>47</v>
      </c>
      <c r="L132" s="21" t="s">
        <v>38</v>
      </c>
      <c r="M132" s="21" t="s">
        <v>39</v>
      </c>
      <c r="N132" s="16" t="s">
        <v>36</v>
      </c>
      <c r="O132" t="str">
        <f>IF(TRIM(J132)="","NULL",IFERROR(VLOOKUP(TRIM(J132),Lookup_PropertyType!$A:$B,2,FALSE()),"other"))</f>
        <v>house</v>
      </c>
      <c r="P132">
        <f t="shared" si="2"/>
        <v>1</v>
      </c>
    </row>
    <row r="133" spans="1:16" ht="15.75" customHeight="1" x14ac:dyDescent="0.35">
      <c r="A133" s="13">
        <v>132</v>
      </c>
      <c r="B133" s="14">
        <v>45662</v>
      </c>
      <c r="C133" s="15"/>
      <c r="D133" s="16" t="s">
        <v>57</v>
      </c>
      <c r="E133" s="17">
        <v>8500</v>
      </c>
      <c r="F133" s="18"/>
      <c r="G133" s="18"/>
      <c r="H133" s="19">
        <v>350000</v>
      </c>
      <c r="I133" s="19">
        <v>70000</v>
      </c>
      <c r="J133" s="20" t="s">
        <v>37</v>
      </c>
      <c r="K133" s="13">
        <v>55</v>
      </c>
      <c r="L133" s="21" t="s">
        <v>45</v>
      </c>
      <c r="M133" s="21" t="s">
        <v>39</v>
      </c>
      <c r="N133" s="16" t="s">
        <v>42</v>
      </c>
      <c r="O133" t="str">
        <f>IF(TRIM(J133)="","NULL",IFERROR(VLOOKUP(TRIM(J133),Lookup_PropertyType!$A:$B,2,FALSE()),"other"))</f>
        <v>house</v>
      </c>
      <c r="P133">
        <f t="shared" si="2"/>
        <v>0</v>
      </c>
    </row>
    <row r="134" spans="1:16" ht="15.75" customHeight="1" x14ac:dyDescent="0.35">
      <c r="A134" s="13">
        <v>133</v>
      </c>
      <c r="B134" s="14">
        <v>45625</v>
      </c>
      <c r="C134" s="14">
        <v>45652</v>
      </c>
      <c r="D134" s="16" t="s">
        <v>32</v>
      </c>
      <c r="E134" s="17">
        <v>5000</v>
      </c>
      <c r="F134" s="18"/>
      <c r="G134" s="18"/>
      <c r="H134" s="19">
        <v>500000</v>
      </c>
      <c r="I134" s="19">
        <v>50000</v>
      </c>
      <c r="J134" s="20" t="s">
        <v>33</v>
      </c>
      <c r="K134" s="13">
        <v>61</v>
      </c>
      <c r="L134" s="21" t="s">
        <v>38</v>
      </c>
      <c r="M134" s="21" t="s">
        <v>54</v>
      </c>
      <c r="N134" s="16" t="s">
        <v>51</v>
      </c>
      <c r="O134" t="str">
        <f>IF(TRIM(J134)="","NULL",IFERROR(VLOOKUP(TRIM(J134),Lookup_PropertyType!$A:$B,2,FALSE()),"other"))</f>
        <v>apartment</v>
      </c>
      <c r="P134">
        <f t="shared" si="2"/>
        <v>1</v>
      </c>
    </row>
    <row r="135" spans="1:16" ht="15.75" customHeight="1" x14ac:dyDescent="0.35">
      <c r="A135" s="13">
        <v>134</v>
      </c>
      <c r="B135" s="14">
        <v>45638</v>
      </c>
      <c r="C135" s="14">
        <v>45645</v>
      </c>
      <c r="D135" s="16" t="s">
        <v>61</v>
      </c>
      <c r="E135" s="17">
        <v>30000</v>
      </c>
      <c r="F135" s="18"/>
      <c r="G135" s="18"/>
      <c r="H135" s="19">
        <v>1200000</v>
      </c>
      <c r="I135" s="19">
        <v>300000</v>
      </c>
      <c r="J135" s="20" t="s">
        <v>37</v>
      </c>
      <c r="K135" s="13">
        <v>53</v>
      </c>
      <c r="L135" s="21" t="s">
        <v>41</v>
      </c>
      <c r="M135" s="21" t="s">
        <v>39</v>
      </c>
      <c r="N135" s="16" t="s">
        <v>36</v>
      </c>
      <c r="O135" t="str">
        <f>IF(TRIM(J135)="","NULL",IFERROR(VLOOKUP(TRIM(J135),Lookup_PropertyType!$A:$B,2,FALSE()),"other"))</f>
        <v>house</v>
      </c>
      <c r="P135">
        <f t="shared" si="2"/>
        <v>1</v>
      </c>
    </row>
    <row r="136" spans="1:16" ht="15.75" customHeight="1" x14ac:dyDescent="0.35">
      <c r="A136" s="13">
        <v>135</v>
      </c>
      <c r="B136" s="14">
        <v>45640</v>
      </c>
      <c r="C136" s="14">
        <v>45652</v>
      </c>
      <c r="D136" s="16" t="s">
        <v>32</v>
      </c>
      <c r="E136" s="17">
        <v>13000</v>
      </c>
      <c r="F136" s="18"/>
      <c r="G136" s="18"/>
      <c r="H136" s="19">
        <v>600000</v>
      </c>
      <c r="I136" s="19">
        <v>70000</v>
      </c>
      <c r="J136" s="20" t="s">
        <v>33</v>
      </c>
      <c r="K136" s="13">
        <v>65</v>
      </c>
      <c r="L136" s="21" t="s">
        <v>34</v>
      </c>
      <c r="M136" s="21" t="s">
        <v>54</v>
      </c>
      <c r="N136" s="16" t="s">
        <v>36</v>
      </c>
      <c r="O136" t="str">
        <f>IF(TRIM(J136)="","NULL",IFERROR(VLOOKUP(TRIM(J136),Lookup_PropertyType!$A:$B,2,FALSE()),"other"))</f>
        <v>apartment</v>
      </c>
      <c r="P136">
        <f t="shared" si="2"/>
        <v>1</v>
      </c>
    </row>
    <row r="137" spans="1:16" ht="15.75" customHeight="1" x14ac:dyDescent="0.35">
      <c r="A137" s="13">
        <v>136</v>
      </c>
      <c r="B137" s="14">
        <v>45723</v>
      </c>
      <c r="C137" s="15"/>
      <c r="D137" s="16" t="s">
        <v>68</v>
      </c>
      <c r="E137" s="17">
        <v>21716</v>
      </c>
      <c r="F137" s="18"/>
      <c r="G137" s="18"/>
      <c r="H137" s="19">
        <v>600000</v>
      </c>
      <c r="I137" s="19">
        <v>200000</v>
      </c>
      <c r="J137" s="20" t="s">
        <v>37</v>
      </c>
      <c r="K137" s="13">
        <v>61</v>
      </c>
      <c r="L137" s="21" t="s">
        <v>38</v>
      </c>
      <c r="M137" s="21" t="s">
        <v>39</v>
      </c>
      <c r="N137" s="16" t="s">
        <v>50</v>
      </c>
      <c r="O137" t="str">
        <f>IF(TRIM(J137)="","NULL",IFERROR(VLOOKUP(TRIM(J137),Lookup_PropertyType!$A:$B,2,FALSE()),"other"))</f>
        <v>house</v>
      </c>
      <c r="P137">
        <f t="shared" si="2"/>
        <v>0</v>
      </c>
    </row>
    <row r="138" spans="1:16" ht="15.75" customHeight="1" x14ac:dyDescent="0.35">
      <c r="A138" s="13">
        <v>137</v>
      </c>
      <c r="B138" s="14">
        <v>45561</v>
      </c>
      <c r="C138" s="14">
        <v>45718</v>
      </c>
      <c r="D138" s="16" t="s">
        <v>57</v>
      </c>
      <c r="E138" s="17">
        <v>15000</v>
      </c>
      <c r="F138" s="18"/>
      <c r="G138" s="18"/>
      <c r="H138" s="19">
        <v>400000</v>
      </c>
      <c r="I138" s="19">
        <v>160000</v>
      </c>
      <c r="J138" s="20" t="s">
        <v>33</v>
      </c>
      <c r="K138" s="13">
        <v>59</v>
      </c>
      <c r="L138" s="21" t="s">
        <v>38</v>
      </c>
      <c r="M138" s="21" t="s">
        <v>48</v>
      </c>
      <c r="N138" s="16" t="s">
        <v>36</v>
      </c>
      <c r="O138" t="str">
        <f>IF(TRIM(J138)="","NULL",IFERROR(VLOOKUP(TRIM(J138),Lookup_PropertyType!$A:$B,2,FALSE()),"other"))</f>
        <v>apartment</v>
      </c>
      <c r="P138">
        <f t="shared" si="2"/>
        <v>1</v>
      </c>
    </row>
    <row r="139" spans="1:16" ht="15.75" customHeight="1" x14ac:dyDescent="0.35">
      <c r="A139" s="13">
        <v>138</v>
      </c>
      <c r="B139" s="14">
        <v>45628</v>
      </c>
      <c r="C139" s="15"/>
      <c r="D139" s="16" t="s">
        <v>69</v>
      </c>
      <c r="E139" s="17">
        <v>12000</v>
      </c>
      <c r="F139" s="18"/>
      <c r="G139" s="18"/>
      <c r="H139" s="19">
        <v>900000</v>
      </c>
      <c r="I139" s="19">
        <v>80000</v>
      </c>
      <c r="J139" s="20" t="s">
        <v>33</v>
      </c>
      <c r="K139" s="13">
        <v>59</v>
      </c>
      <c r="L139" s="21" t="s">
        <v>38</v>
      </c>
      <c r="M139" s="21" t="s">
        <v>54</v>
      </c>
      <c r="N139" s="16" t="s">
        <v>51</v>
      </c>
      <c r="O139" t="str">
        <f>IF(TRIM(J139)="","NULL",IFERROR(VLOOKUP(TRIM(J139),Lookup_PropertyType!$A:$B,2,FALSE()),"other"))</f>
        <v>apartment</v>
      </c>
      <c r="P139">
        <f t="shared" si="2"/>
        <v>0</v>
      </c>
    </row>
    <row r="140" spans="1:16" ht="15.75" customHeight="1" x14ac:dyDescent="0.35">
      <c r="A140" s="13">
        <v>139</v>
      </c>
      <c r="B140" s="14">
        <v>45645</v>
      </c>
      <c r="C140" s="15"/>
      <c r="D140" s="16" t="s">
        <v>32</v>
      </c>
      <c r="E140" s="17">
        <v>12000</v>
      </c>
      <c r="F140" s="18"/>
      <c r="G140" s="18"/>
      <c r="H140" s="19">
        <v>450000</v>
      </c>
      <c r="I140" s="19">
        <v>200000</v>
      </c>
      <c r="J140" s="20" t="s">
        <v>53</v>
      </c>
      <c r="K140" s="13">
        <v>37</v>
      </c>
      <c r="L140" s="21" t="s">
        <v>41</v>
      </c>
      <c r="M140" s="21" t="s">
        <v>35</v>
      </c>
      <c r="N140" s="16" t="s">
        <v>36</v>
      </c>
      <c r="O140" t="str">
        <f>IF(TRIM(J140)="","NULL",IFERROR(VLOOKUP(TRIM(J140),Lookup_PropertyType!$A:$B,2,FALSE()),"other"))</f>
        <v>other</v>
      </c>
      <c r="P140">
        <f t="shared" si="2"/>
        <v>0</v>
      </c>
    </row>
    <row r="141" spans="1:16" ht="15.75" customHeight="1" x14ac:dyDescent="0.35">
      <c r="A141" s="13">
        <v>140</v>
      </c>
      <c r="B141" s="14">
        <v>45640</v>
      </c>
      <c r="C141" s="15"/>
      <c r="D141" s="16" t="s">
        <v>58</v>
      </c>
      <c r="E141" s="17">
        <v>40000</v>
      </c>
      <c r="F141" s="18"/>
      <c r="G141" s="18"/>
      <c r="H141" s="19">
        <v>850000</v>
      </c>
      <c r="I141" s="19">
        <v>510000</v>
      </c>
      <c r="J141" s="20" t="s">
        <v>33</v>
      </c>
      <c r="K141" s="13">
        <v>43</v>
      </c>
      <c r="L141" s="21" t="s">
        <v>41</v>
      </c>
      <c r="M141" s="21" t="s">
        <v>35</v>
      </c>
      <c r="N141" s="16" t="s">
        <v>36</v>
      </c>
      <c r="O141" t="str">
        <f>IF(TRIM(J141)="","NULL",IFERROR(VLOOKUP(TRIM(J141),Lookup_PropertyType!$A:$B,2,FALSE()),"other"))</f>
        <v>apartment</v>
      </c>
      <c r="P141">
        <f t="shared" si="2"/>
        <v>0</v>
      </c>
    </row>
    <row r="142" spans="1:16" ht="15.75" customHeight="1" x14ac:dyDescent="0.35">
      <c r="A142" s="13">
        <v>141</v>
      </c>
      <c r="B142" s="14">
        <v>45711</v>
      </c>
      <c r="C142" s="14">
        <v>45751</v>
      </c>
      <c r="D142" s="16" t="s">
        <v>32</v>
      </c>
      <c r="E142" s="17">
        <v>20000</v>
      </c>
      <c r="F142" s="18"/>
      <c r="G142" s="18"/>
      <c r="H142" s="19">
        <v>350000</v>
      </c>
      <c r="I142" s="19">
        <v>150000</v>
      </c>
      <c r="J142" s="20" t="s">
        <v>33</v>
      </c>
      <c r="K142" s="13">
        <v>43</v>
      </c>
      <c r="L142" s="21" t="s">
        <v>41</v>
      </c>
      <c r="M142" s="21" t="s">
        <v>39</v>
      </c>
      <c r="N142" s="16" t="s">
        <v>51</v>
      </c>
      <c r="O142" t="str">
        <f>IF(TRIM(J142)="","NULL",IFERROR(VLOOKUP(TRIM(J142),Lookup_PropertyType!$A:$B,2,FALSE()),"other"))</f>
        <v>apartment</v>
      </c>
      <c r="P142">
        <f t="shared" si="2"/>
        <v>1</v>
      </c>
    </row>
    <row r="143" spans="1:16" ht="15.75" customHeight="1" x14ac:dyDescent="0.35">
      <c r="A143" s="13">
        <v>142</v>
      </c>
      <c r="B143" s="14">
        <v>45631</v>
      </c>
      <c r="C143" s="14">
        <v>45635</v>
      </c>
      <c r="D143" s="16" t="s">
        <v>32</v>
      </c>
      <c r="E143" s="17">
        <v>4400</v>
      </c>
      <c r="F143" s="18"/>
      <c r="G143" s="18"/>
      <c r="H143" s="19">
        <v>300000</v>
      </c>
      <c r="I143" s="19">
        <v>80000</v>
      </c>
      <c r="J143" s="20" t="s">
        <v>37</v>
      </c>
      <c r="K143" s="13">
        <v>57</v>
      </c>
      <c r="L143" s="21" t="s">
        <v>34</v>
      </c>
      <c r="M143" s="21" t="s">
        <v>39</v>
      </c>
      <c r="N143" s="16" t="s">
        <v>50</v>
      </c>
      <c r="O143" t="str">
        <f>IF(TRIM(J143)="","NULL",IFERROR(VLOOKUP(TRIM(J143),Lookup_PropertyType!$A:$B,2,FALSE()),"other"))</f>
        <v>house</v>
      </c>
      <c r="P143">
        <f t="shared" si="2"/>
        <v>1</v>
      </c>
    </row>
    <row r="144" spans="1:16" ht="15.75" customHeight="1" x14ac:dyDescent="0.35">
      <c r="A144" s="13">
        <v>143</v>
      </c>
      <c r="B144" s="14">
        <v>45666</v>
      </c>
      <c r="C144" s="15"/>
      <c r="D144" s="16" t="s">
        <v>32</v>
      </c>
      <c r="E144" s="17">
        <v>5000</v>
      </c>
      <c r="F144" s="18"/>
      <c r="G144" s="18"/>
      <c r="H144" s="19">
        <v>1500000</v>
      </c>
      <c r="I144" s="19">
        <v>30000</v>
      </c>
      <c r="J144" s="20" t="s">
        <v>37</v>
      </c>
      <c r="K144" s="13">
        <v>34</v>
      </c>
      <c r="L144" s="21" t="s">
        <v>41</v>
      </c>
      <c r="M144" s="21" t="s">
        <v>39</v>
      </c>
      <c r="N144" s="16" t="s">
        <v>51</v>
      </c>
      <c r="O144" t="str">
        <f>IF(TRIM(J144)="","NULL",IFERROR(VLOOKUP(TRIM(J144),Lookup_PropertyType!$A:$B,2,FALSE()),"other"))</f>
        <v>house</v>
      </c>
      <c r="P144">
        <f t="shared" si="2"/>
        <v>0</v>
      </c>
    </row>
    <row r="145" spans="1:16" ht="15.75" customHeight="1" x14ac:dyDescent="0.35">
      <c r="A145" s="13">
        <v>144</v>
      </c>
      <c r="B145" s="14">
        <v>45635</v>
      </c>
      <c r="C145" s="14">
        <v>45677</v>
      </c>
      <c r="D145" s="16" t="s">
        <v>44</v>
      </c>
      <c r="E145" s="17">
        <v>8000</v>
      </c>
      <c r="F145" s="18"/>
      <c r="G145" s="18"/>
      <c r="H145" s="19">
        <v>300000</v>
      </c>
      <c r="I145" s="19">
        <v>80000</v>
      </c>
      <c r="J145" s="20" t="s">
        <v>70</v>
      </c>
      <c r="K145" s="13">
        <v>42</v>
      </c>
      <c r="L145" s="21" t="s">
        <v>41</v>
      </c>
      <c r="M145" s="21" t="s">
        <v>39</v>
      </c>
      <c r="N145" s="16" t="s">
        <v>42</v>
      </c>
      <c r="O145" t="str">
        <f>IF(TRIM(J145)="","NULL",IFERROR(VLOOKUP(TRIM(J145),Lookup_PropertyType!$A:$B,2,FALSE()),"other"))</f>
        <v>apartment</v>
      </c>
      <c r="P145">
        <f t="shared" si="2"/>
        <v>1</v>
      </c>
    </row>
    <row r="146" spans="1:16" ht="15.75" customHeight="1" x14ac:dyDescent="0.35">
      <c r="A146" s="13">
        <v>145</v>
      </c>
      <c r="B146" s="14">
        <v>45689</v>
      </c>
      <c r="C146" s="15"/>
      <c r="D146" s="16" t="s">
        <v>32</v>
      </c>
      <c r="E146" s="17">
        <v>3000</v>
      </c>
      <c r="F146" s="18"/>
      <c r="G146" s="18"/>
      <c r="H146" s="19">
        <v>250000</v>
      </c>
      <c r="I146" s="19">
        <v>50000</v>
      </c>
      <c r="J146" s="20" t="s">
        <v>37</v>
      </c>
      <c r="K146" s="13">
        <v>53</v>
      </c>
      <c r="L146" s="21" t="s">
        <v>38</v>
      </c>
      <c r="M146" s="21" t="s">
        <v>35</v>
      </c>
      <c r="N146" s="16" t="s">
        <v>50</v>
      </c>
      <c r="O146" t="str">
        <f>IF(TRIM(J146)="","NULL",IFERROR(VLOOKUP(TRIM(J146),Lookup_PropertyType!$A:$B,2,FALSE()),"other"))</f>
        <v>house</v>
      </c>
      <c r="P146">
        <f t="shared" si="2"/>
        <v>0</v>
      </c>
    </row>
    <row r="147" spans="1:16" ht="15.75" customHeight="1" x14ac:dyDescent="0.35">
      <c r="A147" s="13">
        <v>146</v>
      </c>
      <c r="B147" s="14">
        <v>45646</v>
      </c>
      <c r="C147" s="14">
        <v>45648</v>
      </c>
      <c r="D147" s="16" t="s">
        <v>44</v>
      </c>
      <c r="E147" s="17">
        <v>13000</v>
      </c>
      <c r="F147" s="18"/>
      <c r="G147" s="18"/>
      <c r="H147" s="19">
        <v>500000</v>
      </c>
      <c r="I147" s="19">
        <v>240000</v>
      </c>
      <c r="J147" s="20" t="s">
        <v>37</v>
      </c>
      <c r="K147" s="13">
        <v>57</v>
      </c>
      <c r="L147" s="21" t="s">
        <v>45</v>
      </c>
      <c r="M147" s="21" t="s">
        <v>39</v>
      </c>
      <c r="N147" s="16" t="s">
        <v>36</v>
      </c>
      <c r="O147" t="str">
        <f>IF(TRIM(J147)="","NULL",IFERROR(VLOOKUP(TRIM(J147),Lookup_PropertyType!$A:$B,2,FALSE()),"other"))</f>
        <v>house</v>
      </c>
      <c r="P147">
        <f t="shared" si="2"/>
        <v>1</v>
      </c>
    </row>
    <row r="148" spans="1:16" ht="15.75" customHeight="1" x14ac:dyDescent="0.35">
      <c r="A148" s="13">
        <v>147</v>
      </c>
      <c r="B148" s="14">
        <v>45681</v>
      </c>
      <c r="C148" s="15"/>
      <c r="D148" s="16" t="s">
        <v>49</v>
      </c>
      <c r="E148" s="17">
        <v>6000</v>
      </c>
      <c r="F148" s="18"/>
      <c r="G148" s="18"/>
      <c r="H148" s="19">
        <v>400000</v>
      </c>
      <c r="I148" s="19">
        <v>100000</v>
      </c>
      <c r="J148" s="20" t="s">
        <v>33</v>
      </c>
      <c r="K148" s="13">
        <v>54</v>
      </c>
      <c r="L148" s="21" t="s">
        <v>41</v>
      </c>
      <c r="M148" s="21" t="s">
        <v>39</v>
      </c>
      <c r="N148" s="16" t="s">
        <v>51</v>
      </c>
      <c r="O148" t="str">
        <f>IF(TRIM(J148)="","NULL",IFERROR(VLOOKUP(TRIM(J148),Lookup_PropertyType!$A:$B,2,FALSE()),"other"))</f>
        <v>apartment</v>
      </c>
      <c r="P148">
        <f t="shared" si="2"/>
        <v>0</v>
      </c>
    </row>
    <row r="149" spans="1:16" ht="15.75" customHeight="1" x14ac:dyDescent="0.35">
      <c r="A149" s="13">
        <v>148</v>
      </c>
      <c r="B149" s="14">
        <v>45634</v>
      </c>
      <c r="C149" s="15"/>
      <c r="D149" s="16" t="s">
        <v>32</v>
      </c>
      <c r="E149" s="17">
        <v>40000</v>
      </c>
      <c r="F149" s="18"/>
      <c r="G149" s="18"/>
      <c r="H149" s="19">
        <v>3000000</v>
      </c>
      <c r="I149" s="19">
        <v>700000</v>
      </c>
      <c r="J149" s="20" t="s">
        <v>33</v>
      </c>
      <c r="K149" s="13">
        <v>50</v>
      </c>
      <c r="L149" s="21" t="s">
        <v>34</v>
      </c>
      <c r="M149" s="21" t="s">
        <v>67</v>
      </c>
      <c r="N149" s="16" t="s">
        <v>36</v>
      </c>
      <c r="O149" t="str">
        <f>IF(TRIM(J149)="","NULL",IFERROR(VLOOKUP(TRIM(J149),Lookup_PropertyType!$A:$B,2,FALSE()),"other"))</f>
        <v>apartment</v>
      </c>
      <c r="P149">
        <f t="shared" si="2"/>
        <v>0</v>
      </c>
    </row>
    <row r="150" spans="1:16" ht="15.75" customHeight="1" x14ac:dyDescent="0.35">
      <c r="A150" s="13">
        <v>149</v>
      </c>
      <c r="B150" s="14">
        <v>45639</v>
      </c>
      <c r="C150" s="14">
        <v>45698</v>
      </c>
      <c r="D150" s="16" t="s">
        <v>32</v>
      </c>
      <c r="E150" s="17">
        <v>30000</v>
      </c>
      <c r="F150" s="18"/>
      <c r="G150" s="18"/>
      <c r="H150" s="19">
        <v>1000000</v>
      </c>
      <c r="I150" s="19">
        <v>400000</v>
      </c>
      <c r="J150" s="20" t="s">
        <v>37</v>
      </c>
      <c r="K150" s="13">
        <v>46</v>
      </c>
      <c r="L150" s="21" t="s">
        <v>38</v>
      </c>
      <c r="M150" s="21" t="s">
        <v>39</v>
      </c>
      <c r="N150" s="16" t="s">
        <v>36</v>
      </c>
      <c r="O150" t="str">
        <f>IF(TRIM(J150)="","NULL",IFERROR(VLOOKUP(TRIM(J150),Lookup_PropertyType!$A:$B,2,FALSE()),"other"))</f>
        <v>house</v>
      </c>
      <c r="P150">
        <f t="shared" si="2"/>
        <v>1</v>
      </c>
    </row>
    <row r="151" spans="1:16" ht="15.75" customHeight="1" x14ac:dyDescent="0.35">
      <c r="A151" s="13">
        <v>150</v>
      </c>
      <c r="B151" s="14">
        <v>45642</v>
      </c>
      <c r="C151" s="14">
        <v>45668</v>
      </c>
      <c r="D151" s="16" t="s">
        <v>32</v>
      </c>
      <c r="E151" s="17">
        <v>12000</v>
      </c>
      <c r="F151" s="18"/>
      <c r="G151" s="18"/>
      <c r="H151" s="19">
        <v>500000</v>
      </c>
      <c r="I151" s="19">
        <v>150000</v>
      </c>
      <c r="J151" s="20" t="s">
        <v>37</v>
      </c>
      <c r="K151" s="13">
        <v>45</v>
      </c>
      <c r="L151" s="21" t="s">
        <v>38</v>
      </c>
      <c r="M151" s="21" t="s">
        <v>39</v>
      </c>
      <c r="N151" s="16" t="s">
        <v>36</v>
      </c>
      <c r="O151" t="str">
        <f>IF(TRIM(J151)="","NULL",IFERROR(VLOOKUP(TRIM(J151),Lookup_PropertyType!$A:$B,2,FALSE()),"other"))</f>
        <v>house</v>
      </c>
      <c r="P151">
        <f t="shared" si="2"/>
        <v>1</v>
      </c>
    </row>
    <row r="152" spans="1:16" ht="15.75" customHeight="1" x14ac:dyDescent="0.35">
      <c r="A152" s="13">
        <v>151</v>
      </c>
      <c r="B152" s="14">
        <v>45654</v>
      </c>
      <c r="C152" s="15"/>
      <c r="D152" s="16" t="s">
        <v>32</v>
      </c>
      <c r="E152" s="17">
        <v>16800</v>
      </c>
      <c r="F152" s="18"/>
      <c r="G152" s="18"/>
      <c r="H152" s="19">
        <v>300000</v>
      </c>
      <c r="I152" s="19">
        <v>120000</v>
      </c>
      <c r="J152" s="20" t="s">
        <v>33</v>
      </c>
      <c r="K152" s="13">
        <v>53</v>
      </c>
      <c r="L152" s="21" t="s">
        <v>38</v>
      </c>
      <c r="M152" s="21" t="s">
        <v>39</v>
      </c>
      <c r="N152" s="16" t="s">
        <v>42</v>
      </c>
      <c r="O152" t="str">
        <f>IF(TRIM(J152)="","NULL",IFERROR(VLOOKUP(TRIM(J152),Lookup_PropertyType!$A:$B,2,FALSE()),"other"))</f>
        <v>apartment</v>
      </c>
      <c r="P152">
        <f t="shared" si="2"/>
        <v>0</v>
      </c>
    </row>
    <row r="153" spans="1:16" ht="15.75" customHeight="1" x14ac:dyDescent="0.35">
      <c r="A153" s="13">
        <v>152</v>
      </c>
      <c r="B153" s="14">
        <v>45605</v>
      </c>
      <c r="C153" s="15"/>
      <c r="D153" s="16" t="s">
        <v>32</v>
      </c>
      <c r="E153" s="17">
        <v>30000</v>
      </c>
      <c r="F153" s="18"/>
      <c r="G153" s="18"/>
      <c r="H153" s="19">
        <v>1000000</v>
      </c>
      <c r="I153" s="19">
        <v>123000</v>
      </c>
      <c r="J153" s="20" t="s">
        <v>37</v>
      </c>
      <c r="K153" s="13">
        <v>50</v>
      </c>
      <c r="L153" s="21" t="s">
        <v>38</v>
      </c>
      <c r="M153" s="21" t="s">
        <v>54</v>
      </c>
      <c r="N153" s="16" t="s">
        <v>42</v>
      </c>
      <c r="O153" t="str">
        <f>IF(TRIM(J153)="","NULL",IFERROR(VLOOKUP(TRIM(J153),Lookup_PropertyType!$A:$B,2,FALSE()),"other"))</f>
        <v>house</v>
      </c>
      <c r="P153">
        <f t="shared" si="2"/>
        <v>0</v>
      </c>
    </row>
    <row r="154" spans="1:16" ht="15.75" customHeight="1" x14ac:dyDescent="0.35">
      <c r="A154" s="13">
        <v>153</v>
      </c>
      <c r="B154" s="14">
        <v>45632</v>
      </c>
      <c r="C154" s="14">
        <v>45729</v>
      </c>
      <c r="D154" s="16" t="s">
        <v>49</v>
      </c>
      <c r="E154" s="17">
        <v>3333</v>
      </c>
      <c r="F154" s="18"/>
      <c r="G154" s="18"/>
      <c r="H154" s="19">
        <v>200000</v>
      </c>
      <c r="I154" s="19">
        <v>30000</v>
      </c>
      <c r="J154" s="20" t="s">
        <v>33</v>
      </c>
      <c r="K154" s="13">
        <v>36</v>
      </c>
      <c r="L154" s="21" t="s">
        <v>34</v>
      </c>
      <c r="M154" s="21" t="s">
        <v>39</v>
      </c>
      <c r="N154" s="16" t="s">
        <v>36</v>
      </c>
      <c r="O154" t="str">
        <f>IF(TRIM(J154)="","NULL",IFERROR(VLOOKUP(TRIM(J154),Lookup_PropertyType!$A:$B,2,FALSE()),"other"))</f>
        <v>apartment</v>
      </c>
      <c r="P154">
        <f t="shared" si="2"/>
        <v>1</v>
      </c>
    </row>
    <row r="155" spans="1:16" ht="15.75" customHeight="1" x14ac:dyDescent="0.35">
      <c r="A155" s="13">
        <v>154</v>
      </c>
      <c r="B155" s="14">
        <v>45675</v>
      </c>
      <c r="C155" s="14">
        <v>45743</v>
      </c>
      <c r="D155" s="16" t="s">
        <v>57</v>
      </c>
      <c r="E155" s="17">
        <v>7800</v>
      </c>
      <c r="F155" s="18"/>
      <c r="G155" s="18"/>
      <c r="H155" s="19">
        <v>330000</v>
      </c>
      <c r="I155" s="19">
        <v>120000</v>
      </c>
      <c r="J155" s="20" t="s">
        <v>33</v>
      </c>
      <c r="K155" s="13">
        <v>43</v>
      </c>
      <c r="L155" s="21" t="s">
        <v>45</v>
      </c>
      <c r="M155" s="21" t="s">
        <v>48</v>
      </c>
      <c r="N155" s="16" t="s">
        <v>36</v>
      </c>
      <c r="O155" t="str">
        <f>IF(TRIM(J155)="","NULL",IFERROR(VLOOKUP(TRIM(J155),Lookup_PropertyType!$A:$B,2,FALSE()),"other"))</f>
        <v>apartment</v>
      </c>
      <c r="P155">
        <f t="shared" si="2"/>
        <v>1</v>
      </c>
    </row>
    <row r="156" spans="1:16" ht="15.75" customHeight="1" x14ac:dyDescent="0.35">
      <c r="A156" s="13">
        <v>155</v>
      </c>
      <c r="B156" s="14">
        <v>45635</v>
      </c>
      <c r="C156" s="14">
        <v>45719</v>
      </c>
      <c r="D156" s="16" t="s">
        <v>55</v>
      </c>
      <c r="E156" s="17">
        <v>10000</v>
      </c>
      <c r="F156" s="18"/>
      <c r="G156" s="18"/>
      <c r="H156" s="19">
        <v>1200000</v>
      </c>
      <c r="I156" s="19">
        <v>50000</v>
      </c>
      <c r="J156" s="20" t="s">
        <v>33</v>
      </c>
      <c r="K156" s="13">
        <v>70</v>
      </c>
      <c r="L156" s="21" t="s">
        <v>38</v>
      </c>
      <c r="M156" s="21" t="s">
        <v>39</v>
      </c>
      <c r="N156" s="16" t="s">
        <v>36</v>
      </c>
      <c r="O156" t="str">
        <f>IF(TRIM(J156)="","NULL",IFERROR(VLOOKUP(TRIM(J156),Lookup_PropertyType!$A:$B,2,FALSE()),"other"))</f>
        <v>apartment</v>
      </c>
      <c r="P156">
        <f t="shared" si="2"/>
        <v>1</v>
      </c>
    </row>
    <row r="157" spans="1:16" ht="15.75" customHeight="1" x14ac:dyDescent="0.35">
      <c r="A157" s="13">
        <v>156</v>
      </c>
      <c r="B157" s="14">
        <v>45667</v>
      </c>
      <c r="C157" s="15"/>
      <c r="D157" s="16" t="s">
        <v>58</v>
      </c>
      <c r="E157" s="17">
        <v>30000</v>
      </c>
      <c r="F157" s="18"/>
      <c r="G157" s="18"/>
      <c r="H157" s="19">
        <v>1100000</v>
      </c>
      <c r="I157" s="19">
        <v>500000</v>
      </c>
      <c r="J157" s="20" t="s">
        <v>33</v>
      </c>
      <c r="K157" s="13">
        <v>41</v>
      </c>
      <c r="L157" s="21" t="s">
        <v>41</v>
      </c>
      <c r="M157" s="21" t="s">
        <v>39</v>
      </c>
      <c r="N157" s="16" t="s">
        <v>42</v>
      </c>
      <c r="O157" t="str">
        <f>IF(TRIM(J157)="","NULL",IFERROR(VLOOKUP(TRIM(J157),Lookup_PropertyType!$A:$B,2,FALSE()),"other"))</f>
        <v>apartment</v>
      </c>
      <c r="P157">
        <f t="shared" si="2"/>
        <v>0</v>
      </c>
    </row>
    <row r="158" spans="1:16" ht="15.75" customHeight="1" x14ac:dyDescent="0.35">
      <c r="A158" s="13">
        <v>157</v>
      </c>
      <c r="B158" s="14">
        <v>45698</v>
      </c>
      <c r="C158" s="15"/>
      <c r="D158" s="16" t="s">
        <v>32</v>
      </c>
      <c r="E158" s="17">
        <v>6000</v>
      </c>
      <c r="F158" s="18"/>
      <c r="G158" s="18"/>
      <c r="H158" s="19">
        <v>1800000</v>
      </c>
      <c r="I158" s="19">
        <v>100000</v>
      </c>
      <c r="J158" s="20" t="s">
        <v>37</v>
      </c>
      <c r="K158" s="13">
        <v>64</v>
      </c>
      <c r="L158" s="21" t="s">
        <v>38</v>
      </c>
      <c r="M158" s="21" t="s">
        <v>39</v>
      </c>
      <c r="N158" s="16" t="s">
        <v>43</v>
      </c>
      <c r="O158" t="str">
        <f>IF(TRIM(J158)="","NULL",IFERROR(VLOOKUP(TRIM(J158),Lookup_PropertyType!$A:$B,2,FALSE()),"other"))</f>
        <v>house</v>
      </c>
      <c r="P158">
        <f t="shared" si="2"/>
        <v>0</v>
      </c>
    </row>
    <row r="159" spans="1:16" ht="15.75" customHeight="1" x14ac:dyDescent="0.35">
      <c r="A159" s="13">
        <v>158</v>
      </c>
      <c r="B159" s="14">
        <v>45668</v>
      </c>
      <c r="C159" s="14">
        <v>45705</v>
      </c>
      <c r="D159" s="16" t="s">
        <v>55</v>
      </c>
      <c r="E159" s="17">
        <v>20000</v>
      </c>
      <c r="F159" s="18"/>
      <c r="G159" s="18"/>
      <c r="H159" s="19">
        <v>440000</v>
      </c>
      <c r="I159" s="19">
        <v>200000</v>
      </c>
      <c r="J159" s="20"/>
      <c r="K159" s="13">
        <v>31</v>
      </c>
      <c r="L159" s="21" t="s">
        <v>45</v>
      </c>
      <c r="M159" s="21" t="s">
        <v>39</v>
      </c>
      <c r="N159" s="16" t="s">
        <v>36</v>
      </c>
      <c r="O159" t="str">
        <f>IF(TRIM(J159)="","NULL",IFERROR(VLOOKUP(TRIM(J159),Lookup_PropertyType!$A:$B,2,FALSE()),"other"))</f>
        <v>NULL</v>
      </c>
      <c r="P159">
        <f t="shared" si="2"/>
        <v>1</v>
      </c>
    </row>
    <row r="160" spans="1:16" ht="15.75" customHeight="1" x14ac:dyDescent="0.35">
      <c r="A160" s="13">
        <v>159</v>
      </c>
      <c r="B160" s="14">
        <v>45857</v>
      </c>
      <c r="C160" s="15"/>
      <c r="D160" s="16" t="s">
        <v>52</v>
      </c>
      <c r="E160" s="17">
        <v>9000</v>
      </c>
      <c r="F160" s="18"/>
      <c r="G160" s="18"/>
      <c r="H160" s="19">
        <v>350000</v>
      </c>
      <c r="I160" s="19">
        <v>100000</v>
      </c>
      <c r="J160" s="20" t="s">
        <v>33</v>
      </c>
      <c r="K160" s="13">
        <v>56</v>
      </c>
      <c r="L160" s="21" t="s">
        <v>41</v>
      </c>
      <c r="M160" s="21" t="s">
        <v>39</v>
      </c>
      <c r="N160" s="16" t="s">
        <v>36</v>
      </c>
      <c r="O160" t="str">
        <f>IF(TRIM(J160)="","NULL",IFERROR(VLOOKUP(TRIM(J160),Lookup_PropertyType!$A:$B,2,FALSE()),"other"))</f>
        <v>apartment</v>
      </c>
      <c r="P160">
        <f t="shared" si="2"/>
        <v>0</v>
      </c>
    </row>
    <row r="161" spans="1:16" ht="15.75" customHeight="1" x14ac:dyDescent="0.35">
      <c r="A161" s="13">
        <v>160</v>
      </c>
      <c r="B161" s="14">
        <v>45726</v>
      </c>
      <c r="C161" s="15"/>
      <c r="D161" s="16" t="s">
        <v>32</v>
      </c>
      <c r="E161" s="17">
        <v>13000</v>
      </c>
      <c r="F161" s="18"/>
      <c r="G161" s="18"/>
      <c r="H161" s="19">
        <v>500000</v>
      </c>
      <c r="I161" s="19">
        <v>100000</v>
      </c>
      <c r="J161" s="20" t="s">
        <v>37</v>
      </c>
      <c r="K161" s="13">
        <v>38</v>
      </c>
      <c r="L161" s="21" t="s">
        <v>59</v>
      </c>
      <c r="M161" s="21" t="s">
        <v>39</v>
      </c>
      <c r="N161" s="16" t="s">
        <v>36</v>
      </c>
      <c r="O161" t="str">
        <f>IF(TRIM(J161)="","NULL",IFERROR(VLOOKUP(TRIM(J161),Lookup_PropertyType!$A:$B,2,FALSE()),"other"))</f>
        <v>house</v>
      </c>
      <c r="P161">
        <f t="shared" si="2"/>
        <v>0</v>
      </c>
    </row>
    <row r="162" spans="1:16" ht="15.75" customHeight="1" x14ac:dyDescent="0.35">
      <c r="A162" s="13">
        <v>161</v>
      </c>
      <c r="B162" s="14">
        <v>45709</v>
      </c>
      <c r="C162" s="14">
        <v>45821</v>
      </c>
      <c r="D162" s="16" t="s">
        <v>32</v>
      </c>
      <c r="E162" s="17">
        <v>18100</v>
      </c>
      <c r="F162" s="18"/>
      <c r="G162" s="18"/>
      <c r="H162" s="19">
        <v>800000</v>
      </c>
      <c r="I162" s="19">
        <v>150000</v>
      </c>
      <c r="J162" s="20" t="s">
        <v>33</v>
      </c>
      <c r="K162" s="13">
        <v>52</v>
      </c>
      <c r="L162" s="21" t="s">
        <v>34</v>
      </c>
      <c r="M162" s="21" t="s">
        <v>48</v>
      </c>
      <c r="N162" s="16" t="s">
        <v>42</v>
      </c>
      <c r="O162" t="str">
        <f>IF(TRIM(J162)="","NULL",IFERROR(VLOOKUP(TRIM(J162),Lookup_PropertyType!$A:$B,2,FALSE()),"other"))</f>
        <v>apartment</v>
      </c>
      <c r="P162">
        <f t="shared" si="2"/>
        <v>1</v>
      </c>
    </row>
    <row r="163" spans="1:16" ht="15.75" customHeight="1" x14ac:dyDescent="0.35">
      <c r="A163" s="13">
        <v>162</v>
      </c>
      <c r="B163" s="14">
        <v>45613</v>
      </c>
      <c r="C163" s="14">
        <v>45626</v>
      </c>
      <c r="D163" s="16" t="s">
        <v>32</v>
      </c>
      <c r="E163" s="17">
        <v>6000</v>
      </c>
      <c r="F163" s="18"/>
      <c r="G163" s="18"/>
      <c r="H163" s="19">
        <v>250000</v>
      </c>
      <c r="I163" s="19">
        <v>60000</v>
      </c>
      <c r="J163" s="20" t="s">
        <v>37</v>
      </c>
      <c r="K163" s="13">
        <v>40</v>
      </c>
      <c r="L163" s="21" t="s">
        <v>38</v>
      </c>
      <c r="M163" s="21" t="s">
        <v>39</v>
      </c>
      <c r="N163" s="16" t="s">
        <v>42</v>
      </c>
      <c r="O163" t="str">
        <f>IF(TRIM(J163)="","NULL",IFERROR(VLOOKUP(TRIM(J163),Lookup_PropertyType!$A:$B,2,FALSE()),"other"))</f>
        <v>house</v>
      </c>
      <c r="P163">
        <f t="shared" si="2"/>
        <v>1</v>
      </c>
    </row>
    <row r="164" spans="1:16" ht="15.75" customHeight="1" x14ac:dyDescent="0.35">
      <c r="A164" s="13">
        <v>163</v>
      </c>
      <c r="B164" s="14">
        <v>45649</v>
      </c>
      <c r="C164" s="15"/>
      <c r="D164" s="16" t="s">
        <v>32</v>
      </c>
      <c r="E164" s="17">
        <v>18000</v>
      </c>
      <c r="F164" s="18"/>
      <c r="G164" s="18"/>
      <c r="H164" s="19">
        <v>500000</v>
      </c>
      <c r="I164" s="19">
        <v>120000</v>
      </c>
      <c r="J164" s="20" t="s">
        <v>33</v>
      </c>
      <c r="K164" s="13">
        <v>34</v>
      </c>
      <c r="L164" s="21" t="s">
        <v>38</v>
      </c>
      <c r="M164" s="21" t="s">
        <v>54</v>
      </c>
      <c r="N164" s="16" t="s">
        <v>42</v>
      </c>
      <c r="O164" t="str">
        <f>IF(TRIM(J164)="","NULL",IFERROR(VLOOKUP(TRIM(J164),Lookup_PropertyType!$A:$B,2,FALSE()),"other"))</f>
        <v>apartment</v>
      </c>
      <c r="P164">
        <f t="shared" si="2"/>
        <v>0</v>
      </c>
    </row>
    <row r="165" spans="1:16" ht="15.75" customHeight="1" x14ac:dyDescent="0.35">
      <c r="A165" s="13">
        <v>164</v>
      </c>
      <c r="B165" s="14">
        <v>45640</v>
      </c>
      <c r="C165" s="14">
        <v>45642</v>
      </c>
      <c r="D165" s="16" t="s">
        <v>32</v>
      </c>
      <c r="E165" s="17">
        <v>40000</v>
      </c>
      <c r="F165" s="18"/>
      <c r="G165" s="18"/>
      <c r="H165" s="19">
        <v>2800000</v>
      </c>
      <c r="I165" s="19">
        <v>700000</v>
      </c>
      <c r="J165" s="20" t="s">
        <v>37</v>
      </c>
      <c r="K165" s="13">
        <v>54</v>
      </c>
      <c r="L165" s="21" t="s">
        <v>34</v>
      </c>
      <c r="M165" s="21" t="s">
        <v>35</v>
      </c>
      <c r="N165" s="16" t="s">
        <v>36</v>
      </c>
      <c r="O165" t="str">
        <f>IF(TRIM(J165)="","NULL",IFERROR(VLOOKUP(TRIM(J165),Lookup_PropertyType!$A:$B,2,FALSE()),"other"))</f>
        <v>house</v>
      </c>
      <c r="P165">
        <f t="shared" si="2"/>
        <v>1</v>
      </c>
    </row>
    <row r="166" spans="1:16" ht="15.75" customHeight="1" x14ac:dyDescent="0.35">
      <c r="A166" s="13">
        <v>165</v>
      </c>
      <c r="B166" s="14">
        <v>45646</v>
      </c>
      <c r="C166" s="14">
        <v>45660</v>
      </c>
      <c r="D166" s="16" t="s">
        <v>32</v>
      </c>
      <c r="E166" s="17">
        <v>4800</v>
      </c>
      <c r="F166" s="18"/>
      <c r="G166" s="18"/>
      <c r="H166" s="19">
        <v>300000</v>
      </c>
      <c r="I166" s="19">
        <v>30000</v>
      </c>
      <c r="J166" s="20" t="s">
        <v>33</v>
      </c>
      <c r="K166" s="13">
        <v>51</v>
      </c>
      <c r="L166" s="21" t="s">
        <v>38</v>
      </c>
      <c r="M166" s="21" t="s">
        <v>39</v>
      </c>
      <c r="N166" s="16" t="s">
        <v>42</v>
      </c>
      <c r="O166" t="str">
        <f>IF(TRIM(J166)="","NULL",IFERROR(VLOOKUP(TRIM(J166),Lookup_PropertyType!$A:$B,2,FALSE()),"other"))</f>
        <v>apartment</v>
      </c>
      <c r="P166">
        <f t="shared" si="2"/>
        <v>1</v>
      </c>
    </row>
    <row r="167" spans="1:16" ht="15.75" customHeight="1" x14ac:dyDescent="0.35">
      <c r="A167" s="13">
        <v>166</v>
      </c>
      <c r="B167" s="14">
        <v>45669</v>
      </c>
      <c r="C167" s="14">
        <v>45722</v>
      </c>
      <c r="D167" s="16" t="s">
        <v>58</v>
      </c>
      <c r="E167" s="17">
        <v>50000</v>
      </c>
      <c r="F167" s="18"/>
      <c r="G167" s="18"/>
      <c r="H167" s="19">
        <v>950000</v>
      </c>
      <c r="I167" s="19">
        <v>475000</v>
      </c>
      <c r="J167" s="20" t="s">
        <v>37</v>
      </c>
      <c r="K167" s="13">
        <v>42</v>
      </c>
      <c r="L167" s="21" t="s">
        <v>45</v>
      </c>
      <c r="M167" s="21" t="s">
        <v>39</v>
      </c>
      <c r="N167" s="16" t="s">
        <v>36</v>
      </c>
      <c r="O167" t="str">
        <f>IF(TRIM(J167)="","NULL",IFERROR(VLOOKUP(TRIM(J167),Lookup_PropertyType!$A:$B,2,FALSE()),"other"))</f>
        <v>house</v>
      </c>
      <c r="P167">
        <f t="shared" si="2"/>
        <v>1</v>
      </c>
    </row>
    <row r="168" spans="1:16" ht="15.75" customHeight="1" x14ac:dyDescent="0.35">
      <c r="A168" s="13">
        <v>167</v>
      </c>
      <c r="B168" s="14">
        <v>45669</v>
      </c>
      <c r="C168" s="14">
        <v>45691</v>
      </c>
      <c r="D168" s="16" t="s">
        <v>32</v>
      </c>
      <c r="E168" s="17">
        <v>12000</v>
      </c>
      <c r="F168" s="18"/>
      <c r="G168" s="18"/>
      <c r="H168" s="19">
        <v>630000</v>
      </c>
      <c r="I168" s="19">
        <v>150000</v>
      </c>
      <c r="J168" s="20" t="s">
        <v>33</v>
      </c>
      <c r="K168" s="13">
        <v>41</v>
      </c>
      <c r="L168" s="21" t="s">
        <v>38</v>
      </c>
      <c r="M168" s="21" t="s">
        <v>48</v>
      </c>
      <c r="N168" s="16" t="s">
        <v>36</v>
      </c>
      <c r="O168" t="str">
        <f>IF(TRIM(J168)="","NULL",IFERROR(VLOOKUP(TRIM(J168),Lookup_PropertyType!$A:$B,2,FALSE()),"other"))</f>
        <v>apartment</v>
      </c>
      <c r="P168">
        <f t="shared" si="2"/>
        <v>1</v>
      </c>
    </row>
    <row r="169" spans="1:16" ht="15.75" customHeight="1" x14ac:dyDescent="0.35">
      <c r="A169" s="13">
        <v>168</v>
      </c>
      <c r="B169" s="14">
        <v>45701</v>
      </c>
      <c r="C169" s="14">
        <v>45766</v>
      </c>
      <c r="D169" s="16" t="s">
        <v>32</v>
      </c>
      <c r="E169" s="17">
        <v>15000</v>
      </c>
      <c r="F169" s="18"/>
      <c r="G169" s="18"/>
      <c r="H169" s="19">
        <v>400000</v>
      </c>
      <c r="I169" s="19">
        <v>150000</v>
      </c>
      <c r="J169" s="20" t="s">
        <v>37</v>
      </c>
      <c r="K169" s="13">
        <v>53</v>
      </c>
      <c r="L169" s="21" t="s">
        <v>59</v>
      </c>
      <c r="M169" s="21" t="s">
        <v>54</v>
      </c>
      <c r="N169" s="16" t="s">
        <v>42</v>
      </c>
      <c r="O169" t="str">
        <f>IF(TRIM(J169)="","NULL",IFERROR(VLOOKUP(TRIM(J169),Lookup_PropertyType!$A:$B,2,FALSE()),"other"))</f>
        <v>house</v>
      </c>
      <c r="P169">
        <f t="shared" si="2"/>
        <v>1</v>
      </c>
    </row>
    <row r="170" spans="1:16" ht="15.75" customHeight="1" x14ac:dyDescent="0.35">
      <c r="A170" s="13">
        <v>169</v>
      </c>
      <c r="B170" s="14">
        <v>45659</v>
      </c>
      <c r="C170" s="14">
        <v>45667</v>
      </c>
      <c r="D170" s="16" t="s">
        <v>32</v>
      </c>
      <c r="E170" s="17">
        <v>35000</v>
      </c>
      <c r="F170" s="18"/>
      <c r="G170" s="18"/>
      <c r="H170" s="19">
        <v>1000000</v>
      </c>
      <c r="I170" s="19">
        <v>100000</v>
      </c>
      <c r="J170" s="20" t="s">
        <v>33</v>
      </c>
      <c r="K170" s="13">
        <v>47</v>
      </c>
      <c r="L170" s="21" t="s">
        <v>38</v>
      </c>
      <c r="M170" s="21" t="s">
        <v>39</v>
      </c>
      <c r="N170" s="16" t="s">
        <v>51</v>
      </c>
      <c r="O170" t="str">
        <f>IF(TRIM(J170)="","NULL",IFERROR(VLOOKUP(TRIM(J170),Lookup_PropertyType!$A:$B,2,FALSE()),"other"))</f>
        <v>apartment</v>
      </c>
      <c r="P170">
        <f t="shared" si="2"/>
        <v>1</v>
      </c>
    </row>
    <row r="171" spans="1:16" ht="15.75" customHeight="1" x14ac:dyDescent="0.35">
      <c r="A171" s="13">
        <v>170</v>
      </c>
      <c r="B171" s="14">
        <v>45649</v>
      </c>
      <c r="C171" s="15"/>
      <c r="D171" s="16" t="s">
        <v>57</v>
      </c>
      <c r="E171" s="17">
        <v>3500</v>
      </c>
      <c r="F171" s="18"/>
      <c r="G171" s="18"/>
      <c r="H171" s="19">
        <v>450000</v>
      </c>
      <c r="I171" s="19">
        <v>40000</v>
      </c>
      <c r="J171" s="20"/>
      <c r="K171" s="13">
        <v>65</v>
      </c>
      <c r="L171" s="21" t="s">
        <v>38</v>
      </c>
      <c r="M171" s="21" t="s">
        <v>39</v>
      </c>
      <c r="N171" s="16" t="s">
        <v>43</v>
      </c>
      <c r="O171" t="str">
        <f>IF(TRIM(J171)="","NULL",IFERROR(VLOOKUP(TRIM(J171),Lookup_PropertyType!$A:$B,2,FALSE()),"other"))</f>
        <v>NULL</v>
      </c>
      <c r="P171">
        <f t="shared" si="2"/>
        <v>0</v>
      </c>
    </row>
    <row r="172" spans="1:16" ht="15.75" customHeight="1" x14ac:dyDescent="0.35">
      <c r="A172" s="13">
        <v>171</v>
      </c>
      <c r="B172" s="14">
        <v>45710</v>
      </c>
      <c r="C172" s="14">
        <v>45729</v>
      </c>
      <c r="D172" s="16" t="s">
        <v>65</v>
      </c>
      <c r="E172" s="17">
        <v>12000</v>
      </c>
      <c r="F172" s="18"/>
      <c r="G172" s="18"/>
      <c r="H172" s="19">
        <v>350000</v>
      </c>
      <c r="I172" s="19">
        <v>150000</v>
      </c>
      <c r="J172" s="20" t="s">
        <v>71</v>
      </c>
      <c r="K172" s="13">
        <v>67</v>
      </c>
      <c r="L172" s="21" t="s">
        <v>38</v>
      </c>
      <c r="M172" s="21" t="s">
        <v>48</v>
      </c>
      <c r="N172" s="16" t="s">
        <v>43</v>
      </c>
      <c r="O172" t="str">
        <f>IF(TRIM(J172)="","NULL",IFERROR(VLOOKUP(TRIM(J172),Lookup_PropertyType!$A:$B,2,FALSE()),"other"))</f>
        <v>house</v>
      </c>
      <c r="P172">
        <f t="shared" si="2"/>
        <v>1</v>
      </c>
    </row>
    <row r="173" spans="1:16" ht="15.75" customHeight="1" x14ac:dyDescent="0.35">
      <c r="A173" s="13">
        <v>172</v>
      </c>
      <c r="B173" s="14">
        <v>45646</v>
      </c>
      <c r="C173" s="14">
        <v>45730</v>
      </c>
      <c r="D173" s="16" t="s">
        <v>49</v>
      </c>
      <c r="E173" s="17">
        <v>9000</v>
      </c>
      <c r="F173" s="18"/>
      <c r="G173" s="18"/>
      <c r="H173" s="19">
        <v>280000</v>
      </c>
      <c r="I173" s="19">
        <v>140000</v>
      </c>
      <c r="J173" s="20" t="s">
        <v>33</v>
      </c>
      <c r="K173" s="13">
        <v>36</v>
      </c>
      <c r="L173" s="21" t="s">
        <v>41</v>
      </c>
      <c r="M173" s="21" t="s">
        <v>39</v>
      </c>
      <c r="N173" s="16" t="s">
        <v>42</v>
      </c>
      <c r="O173" t="str">
        <f>IF(TRIM(J173)="","NULL",IFERROR(VLOOKUP(TRIM(J173),Lookup_PropertyType!$A:$B,2,FALSE()),"other"))</f>
        <v>apartment</v>
      </c>
      <c r="P173">
        <f t="shared" si="2"/>
        <v>1</v>
      </c>
    </row>
    <row r="174" spans="1:16" ht="15.75" customHeight="1" x14ac:dyDescent="0.35">
      <c r="A174" s="13">
        <v>173</v>
      </c>
      <c r="B174" s="14">
        <v>45676</v>
      </c>
      <c r="C174" s="15"/>
      <c r="D174" s="16" t="s">
        <v>32</v>
      </c>
      <c r="E174" s="17">
        <v>10000</v>
      </c>
      <c r="F174" s="18"/>
      <c r="G174" s="18"/>
      <c r="H174" s="19">
        <v>1000000</v>
      </c>
      <c r="I174" s="19">
        <v>175000</v>
      </c>
      <c r="J174" s="20" t="s">
        <v>37</v>
      </c>
      <c r="K174" s="13">
        <v>41</v>
      </c>
      <c r="L174" s="21" t="s">
        <v>34</v>
      </c>
      <c r="M174" s="21" t="s">
        <v>35</v>
      </c>
      <c r="N174" s="16" t="s">
        <v>48</v>
      </c>
      <c r="O174" t="str">
        <f>IF(TRIM(J174)="","NULL",IFERROR(VLOOKUP(TRIM(J174),Lookup_PropertyType!$A:$B,2,FALSE()),"other"))</f>
        <v>house</v>
      </c>
      <c r="P174">
        <f t="shared" si="2"/>
        <v>0</v>
      </c>
    </row>
    <row r="175" spans="1:16" ht="15.75" customHeight="1" x14ac:dyDescent="0.35">
      <c r="A175" s="13">
        <v>174</v>
      </c>
      <c r="B175" s="14">
        <v>45801</v>
      </c>
      <c r="C175" s="15"/>
      <c r="D175" s="16" t="s">
        <v>69</v>
      </c>
      <c r="E175" s="17">
        <v>6500</v>
      </c>
      <c r="F175" s="18"/>
      <c r="G175" s="18"/>
      <c r="H175" s="19">
        <v>380000</v>
      </c>
      <c r="I175" s="19">
        <v>40000</v>
      </c>
      <c r="J175" s="20" t="s">
        <v>33</v>
      </c>
      <c r="K175" s="13">
        <v>52</v>
      </c>
      <c r="L175" s="21" t="s">
        <v>59</v>
      </c>
      <c r="M175" s="21" t="s">
        <v>72</v>
      </c>
      <c r="N175" s="16" t="s">
        <v>42</v>
      </c>
      <c r="O175" t="str">
        <f>IF(TRIM(J175)="","NULL",IFERROR(VLOOKUP(TRIM(J175),Lookup_PropertyType!$A:$B,2,FALSE()),"other"))</f>
        <v>apartment</v>
      </c>
      <c r="P175">
        <f t="shared" si="2"/>
        <v>0</v>
      </c>
    </row>
    <row r="176" spans="1:16" ht="15.75" customHeight="1" x14ac:dyDescent="0.35">
      <c r="A176" s="13">
        <v>175</v>
      </c>
      <c r="B176" s="14">
        <v>45641</v>
      </c>
      <c r="C176" s="14">
        <v>45682</v>
      </c>
      <c r="D176" s="16" t="s">
        <v>55</v>
      </c>
      <c r="E176" s="17">
        <v>18000</v>
      </c>
      <c r="F176" s="18"/>
      <c r="G176" s="18"/>
      <c r="H176" s="19">
        <v>530000</v>
      </c>
      <c r="I176" s="19">
        <v>300000</v>
      </c>
      <c r="J176" s="20" t="s">
        <v>73</v>
      </c>
      <c r="K176" s="13">
        <v>47</v>
      </c>
      <c r="L176" s="21" t="s">
        <v>45</v>
      </c>
      <c r="M176" s="21" t="s">
        <v>72</v>
      </c>
      <c r="N176" s="16" t="s">
        <v>36</v>
      </c>
      <c r="O176" t="str">
        <f>IF(TRIM(J176)="","NULL",IFERROR(VLOOKUP(TRIM(J176),Lookup_PropertyType!$A:$B,2,FALSE()),"other"))</f>
        <v>house</v>
      </c>
      <c r="P176">
        <f t="shared" si="2"/>
        <v>1</v>
      </c>
    </row>
    <row r="177" spans="1:16" ht="15.75" customHeight="1" x14ac:dyDescent="0.35">
      <c r="A177" s="13">
        <v>176</v>
      </c>
      <c r="B177" s="14">
        <v>45701</v>
      </c>
      <c r="C177" s="14">
        <v>45731</v>
      </c>
      <c r="D177" s="16" t="s">
        <v>32</v>
      </c>
      <c r="E177" s="17">
        <v>14500</v>
      </c>
      <c r="F177" s="18"/>
      <c r="G177" s="18"/>
      <c r="H177" s="19">
        <v>152300</v>
      </c>
      <c r="I177" s="19">
        <v>75000</v>
      </c>
      <c r="J177" s="20" t="s">
        <v>33</v>
      </c>
      <c r="K177" s="13">
        <v>46</v>
      </c>
      <c r="L177" s="21" t="s">
        <v>38</v>
      </c>
      <c r="M177" s="21" t="s">
        <v>39</v>
      </c>
      <c r="N177" s="16" t="s">
        <v>36</v>
      </c>
      <c r="O177" t="str">
        <f>IF(TRIM(J177)="","NULL",IFERROR(VLOOKUP(TRIM(J177),Lookup_PropertyType!$A:$B,2,FALSE()),"other"))</f>
        <v>apartment</v>
      </c>
      <c r="P177">
        <f t="shared" si="2"/>
        <v>1</v>
      </c>
    </row>
    <row r="178" spans="1:16" ht="15.75" customHeight="1" x14ac:dyDescent="0.35">
      <c r="A178" s="13">
        <v>177</v>
      </c>
      <c r="B178" s="14">
        <v>45662</v>
      </c>
      <c r="C178" s="15"/>
      <c r="D178" s="16" t="s">
        <v>74</v>
      </c>
      <c r="E178" s="17">
        <v>8000</v>
      </c>
      <c r="F178" s="18"/>
      <c r="G178" s="18"/>
      <c r="H178" s="19">
        <v>220000</v>
      </c>
      <c r="I178" s="19">
        <v>50000</v>
      </c>
      <c r="J178" s="20" t="s">
        <v>33</v>
      </c>
      <c r="K178" s="13">
        <v>49</v>
      </c>
      <c r="L178" s="21" t="s">
        <v>38</v>
      </c>
      <c r="M178" s="21" t="s">
        <v>48</v>
      </c>
      <c r="N178" s="16" t="s">
        <v>50</v>
      </c>
      <c r="O178" t="str">
        <f>IF(TRIM(J178)="","NULL",IFERROR(VLOOKUP(TRIM(J178),Lookup_PropertyType!$A:$B,2,FALSE()),"other"))</f>
        <v>apartment</v>
      </c>
      <c r="P178">
        <f t="shared" si="2"/>
        <v>0</v>
      </c>
    </row>
    <row r="179" spans="1:16" ht="15.75" customHeight="1" x14ac:dyDescent="0.35">
      <c r="A179" s="13">
        <v>178</v>
      </c>
      <c r="B179" s="14">
        <v>45639</v>
      </c>
      <c r="C179" s="15"/>
      <c r="D179" s="16" t="s">
        <v>32</v>
      </c>
      <c r="E179" s="17">
        <v>6000</v>
      </c>
      <c r="F179" s="18"/>
      <c r="G179" s="18"/>
      <c r="H179" s="19">
        <v>480000</v>
      </c>
      <c r="I179" s="19">
        <v>100000</v>
      </c>
      <c r="J179" s="20" t="s">
        <v>33</v>
      </c>
      <c r="K179" s="13">
        <v>52</v>
      </c>
      <c r="L179" s="21" t="s">
        <v>38</v>
      </c>
      <c r="M179" s="21" t="s">
        <v>48</v>
      </c>
      <c r="N179" s="16" t="s">
        <v>51</v>
      </c>
      <c r="O179" t="str">
        <f>IF(TRIM(J179)="","NULL",IFERROR(VLOOKUP(TRIM(J179),Lookup_PropertyType!$A:$B,2,FALSE()),"other"))</f>
        <v>apartment</v>
      </c>
      <c r="P179">
        <f t="shared" si="2"/>
        <v>0</v>
      </c>
    </row>
    <row r="180" spans="1:16" ht="15.75" customHeight="1" x14ac:dyDescent="0.35">
      <c r="A180" s="13">
        <v>179</v>
      </c>
      <c r="B180" s="14">
        <v>45653</v>
      </c>
      <c r="C180" s="15"/>
      <c r="D180" s="16" t="s">
        <v>32</v>
      </c>
      <c r="E180" s="17">
        <v>12000</v>
      </c>
      <c r="F180" s="18"/>
      <c r="G180" s="18"/>
      <c r="H180" s="19">
        <v>280000</v>
      </c>
      <c r="I180" s="19">
        <v>80000</v>
      </c>
      <c r="J180" s="20" t="s">
        <v>37</v>
      </c>
      <c r="K180" s="13">
        <v>45</v>
      </c>
      <c r="L180" s="21" t="s">
        <v>34</v>
      </c>
      <c r="M180" s="21" t="s">
        <v>54</v>
      </c>
      <c r="N180" s="16" t="s">
        <v>42</v>
      </c>
      <c r="O180" t="str">
        <f>IF(TRIM(J180)="","NULL",IFERROR(VLOOKUP(TRIM(J180),Lookup_PropertyType!$A:$B,2,FALSE()),"other"))</f>
        <v>house</v>
      </c>
      <c r="P180">
        <f t="shared" si="2"/>
        <v>0</v>
      </c>
    </row>
    <row r="181" spans="1:16" ht="15.75" customHeight="1" x14ac:dyDescent="0.35">
      <c r="A181" s="13">
        <v>180</v>
      </c>
      <c r="B181" s="14">
        <v>45760</v>
      </c>
      <c r="C181" s="14">
        <v>45807</v>
      </c>
      <c r="D181" s="16" t="s">
        <v>55</v>
      </c>
      <c r="E181" s="17">
        <v>12000</v>
      </c>
      <c r="F181" s="18"/>
      <c r="G181" s="18"/>
      <c r="H181" s="19">
        <v>800000</v>
      </c>
      <c r="I181" s="19">
        <v>200000</v>
      </c>
      <c r="J181" s="20" t="s">
        <v>33</v>
      </c>
      <c r="K181" s="13">
        <v>55</v>
      </c>
      <c r="L181" s="21" t="s">
        <v>38</v>
      </c>
      <c r="M181" s="21" t="s">
        <v>39</v>
      </c>
      <c r="N181" s="16" t="s">
        <v>50</v>
      </c>
      <c r="O181" t="str">
        <f>IF(TRIM(J181)="","NULL",IFERROR(VLOOKUP(TRIM(J181),Lookup_PropertyType!$A:$B,2,FALSE()),"other"))</f>
        <v>apartment</v>
      </c>
      <c r="P181">
        <f t="shared" si="2"/>
        <v>1</v>
      </c>
    </row>
    <row r="182" spans="1:16" ht="15.75" customHeight="1" x14ac:dyDescent="0.35">
      <c r="A182" s="13">
        <v>181</v>
      </c>
      <c r="B182" s="14">
        <v>45669</v>
      </c>
      <c r="C182" s="15"/>
      <c r="D182" s="16" t="s">
        <v>52</v>
      </c>
      <c r="E182" s="17">
        <v>50000</v>
      </c>
      <c r="F182" s="18"/>
      <c r="G182" s="18"/>
      <c r="H182" s="19">
        <v>1400000</v>
      </c>
      <c r="I182" s="19">
        <v>700000</v>
      </c>
      <c r="J182" s="20" t="s">
        <v>33</v>
      </c>
      <c r="K182" s="13">
        <v>63</v>
      </c>
      <c r="L182" s="21" t="s">
        <v>38</v>
      </c>
      <c r="M182" s="21" t="s">
        <v>39</v>
      </c>
      <c r="N182" s="16" t="s">
        <v>36</v>
      </c>
      <c r="O182" t="str">
        <f>IF(TRIM(J182)="","NULL",IFERROR(VLOOKUP(TRIM(J182),Lookup_PropertyType!$A:$B,2,FALSE()),"other"))</f>
        <v>apartment</v>
      </c>
      <c r="P182">
        <f t="shared" si="2"/>
        <v>0</v>
      </c>
    </row>
    <row r="183" spans="1:16" ht="15.75" customHeight="1" x14ac:dyDescent="0.35">
      <c r="A183" s="13">
        <v>182</v>
      </c>
      <c r="B183" s="14">
        <v>45646</v>
      </c>
      <c r="C183" s="15"/>
      <c r="D183" s="16" t="s">
        <v>56</v>
      </c>
      <c r="E183" s="17">
        <v>7000</v>
      </c>
      <c r="F183" s="18"/>
      <c r="G183" s="18"/>
      <c r="H183" s="19">
        <v>350000</v>
      </c>
      <c r="I183" s="19">
        <v>80000</v>
      </c>
      <c r="J183" s="20" t="s">
        <v>37</v>
      </c>
      <c r="K183" s="13">
        <v>62</v>
      </c>
      <c r="L183" s="21" t="s">
        <v>38</v>
      </c>
      <c r="M183" s="21" t="s">
        <v>39</v>
      </c>
      <c r="N183" s="16" t="s">
        <v>42</v>
      </c>
      <c r="O183" t="str">
        <f>IF(TRIM(J183)="","NULL",IFERROR(VLOOKUP(TRIM(J183),Lookup_PropertyType!$A:$B,2,FALSE()),"other"))</f>
        <v>house</v>
      </c>
      <c r="P183">
        <f t="shared" si="2"/>
        <v>0</v>
      </c>
    </row>
    <row r="184" spans="1:16" ht="15.75" customHeight="1" x14ac:dyDescent="0.35">
      <c r="A184" s="13">
        <v>183</v>
      </c>
      <c r="B184" s="14">
        <v>45660</v>
      </c>
      <c r="C184" s="14">
        <v>45676</v>
      </c>
      <c r="D184" s="16" t="s">
        <v>32</v>
      </c>
      <c r="E184" s="17">
        <v>14000</v>
      </c>
      <c r="F184" s="18"/>
      <c r="G184" s="18"/>
      <c r="H184" s="19">
        <v>600000</v>
      </c>
      <c r="I184" s="19">
        <v>170000</v>
      </c>
      <c r="J184" s="20" t="s">
        <v>33</v>
      </c>
      <c r="K184" s="13">
        <v>47</v>
      </c>
      <c r="L184" s="21" t="s">
        <v>34</v>
      </c>
      <c r="M184" s="21" t="s">
        <v>39</v>
      </c>
      <c r="N184" s="16" t="s">
        <v>36</v>
      </c>
      <c r="O184" t="str">
        <f>IF(TRIM(J184)="","NULL",IFERROR(VLOOKUP(TRIM(J184),Lookup_PropertyType!$A:$B,2,FALSE()),"other"))</f>
        <v>apartment</v>
      </c>
      <c r="P184">
        <f t="shared" si="2"/>
        <v>1</v>
      </c>
    </row>
    <row r="185" spans="1:16" ht="15.75" customHeight="1" x14ac:dyDescent="0.35">
      <c r="A185" s="13">
        <v>184</v>
      </c>
      <c r="B185" s="14">
        <v>45697</v>
      </c>
      <c r="C185" s="14">
        <v>45722</v>
      </c>
      <c r="D185" s="16" t="s">
        <v>32</v>
      </c>
      <c r="E185" s="17">
        <v>10000</v>
      </c>
      <c r="F185" s="18"/>
      <c r="G185" s="18"/>
      <c r="H185" s="19">
        <v>450000</v>
      </c>
      <c r="I185" s="19">
        <v>150000</v>
      </c>
      <c r="J185" s="20" t="s">
        <v>53</v>
      </c>
      <c r="K185" s="13">
        <v>56</v>
      </c>
      <c r="L185" s="21" t="s">
        <v>38</v>
      </c>
      <c r="M185" s="21" t="s">
        <v>54</v>
      </c>
      <c r="N185" s="16" t="s">
        <v>40</v>
      </c>
      <c r="O185" t="str">
        <f>IF(TRIM(J185)="","NULL",IFERROR(VLOOKUP(TRIM(J185),Lookup_PropertyType!$A:$B,2,FALSE()),"other"))</f>
        <v>other</v>
      </c>
      <c r="P185">
        <f t="shared" si="2"/>
        <v>1</v>
      </c>
    </row>
    <row r="186" spans="1:16" ht="15.75" customHeight="1" x14ac:dyDescent="0.35">
      <c r="A186" s="13">
        <v>185</v>
      </c>
      <c r="B186" s="14">
        <v>45753</v>
      </c>
      <c r="C186" s="14">
        <v>45793</v>
      </c>
      <c r="D186" s="16" t="s">
        <v>58</v>
      </c>
      <c r="E186" s="17">
        <v>11000</v>
      </c>
      <c r="F186" s="18"/>
      <c r="G186" s="18"/>
      <c r="H186" s="19">
        <v>700000</v>
      </c>
      <c r="I186" s="19">
        <v>170000</v>
      </c>
      <c r="J186" s="20" t="s">
        <v>33</v>
      </c>
      <c r="K186" s="13">
        <v>65</v>
      </c>
      <c r="L186" s="21" t="s">
        <v>38</v>
      </c>
      <c r="M186" s="21" t="s">
        <v>39</v>
      </c>
      <c r="N186" s="16" t="s">
        <v>43</v>
      </c>
      <c r="O186" t="str">
        <f>IF(TRIM(J186)="","NULL",IFERROR(VLOOKUP(TRIM(J186),Lookup_PropertyType!$A:$B,2,FALSE()),"other"))</f>
        <v>apartment</v>
      </c>
      <c r="P186">
        <f t="shared" si="2"/>
        <v>1</v>
      </c>
    </row>
    <row r="187" spans="1:16" ht="15.75" customHeight="1" x14ac:dyDescent="0.35">
      <c r="A187" s="13">
        <v>186</v>
      </c>
      <c r="B187" s="14">
        <v>45681</v>
      </c>
      <c r="C187" s="15"/>
      <c r="D187" s="16" t="s">
        <v>32</v>
      </c>
      <c r="E187" s="17">
        <v>7148</v>
      </c>
      <c r="F187" s="18"/>
      <c r="G187" s="18"/>
      <c r="H187" s="19">
        <v>320000</v>
      </c>
      <c r="I187" s="19">
        <v>351626</v>
      </c>
      <c r="J187" s="20" t="s">
        <v>33</v>
      </c>
      <c r="K187" s="13">
        <v>48</v>
      </c>
      <c r="L187" s="21" t="s">
        <v>38</v>
      </c>
      <c r="M187" s="21" t="s">
        <v>39</v>
      </c>
      <c r="N187" s="16" t="s">
        <v>42</v>
      </c>
      <c r="O187" t="str">
        <f>IF(TRIM(J187)="","NULL",IFERROR(VLOOKUP(TRIM(J187),Lookup_PropertyType!$A:$B,2,FALSE()),"other"))</f>
        <v>apartment</v>
      </c>
      <c r="P187">
        <f t="shared" si="2"/>
        <v>0</v>
      </c>
    </row>
    <row r="188" spans="1:16" ht="15.75" customHeight="1" x14ac:dyDescent="0.35">
      <c r="A188" s="13">
        <v>187</v>
      </c>
      <c r="B188" s="14">
        <v>45660</v>
      </c>
      <c r="C188" s="14">
        <v>45744</v>
      </c>
      <c r="D188" s="16" t="s">
        <v>46</v>
      </c>
      <c r="E188" s="17">
        <v>5000</v>
      </c>
      <c r="F188" s="18"/>
      <c r="G188" s="18"/>
      <c r="H188" s="19">
        <v>350000</v>
      </c>
      <c r="I188" s="19">
        <v>85000</v>
      </c>
      <c r="J188" s="20" t="s">
        <v>33</v>
      </c>
      <c r="K188" s="13">
        <v>51</v>
      </c>
      <c r="L188" s="21"/>
      <c r="M188" s="21" t="s">
        <v>39</v>
      </c>
      <c r="N188" s="16" t="s">
        <v>42</v>
      </c>
      <c r="O188" t="str">
        <f>IF(TRIM(J188)="","NULL",IFERROR(VLOOKUP(TRIM(J188),Lookup_PropertyType!$A:$B,2,FALSE()),"other"))</f>
        <v>apartment</v>
      </c>
      <c r="P188">
        <f t="shared" si="2"/>
        <v>1</v>
      </c>
    </row>
    <row r="189" spans="1:16" ht="15.75" customHeight="1" x14ac:dyDescent="0.35">
      <c r="A189" s="13">
        <v>188</v>
      </c>
      <c r="B189" s="14">
        <v>45775</v>
      </c>
      <c r="C189" s="14">
        <v>45837</v>
      </c>
      <c r="D189" s="16" t="s">
        <v>57</v>
      </c>
      <c r="E189" s="17">
        <v>30000</v>
      </c>
      <c r="F189" s="18"/>
      <c r="G189" s="18"/>
      <c r="H189" s="19">
        <v>1100000</v>
      </c>
      <c r="I189" s="19">
        <v>500000</v>
      </c>
      <c r="J189" s="20"/>
      <c r="K189" s="13">
        <v>53</v>
      </c>
      <c r="L189" s="21" t="s">
        <v>34</v>
      </c>
      <c r="M189" s="21" t="s">
        <v>39</v>
      </c>
      <c r="N189" s="16" t="s">
        <v>50</v>
      </c>
      <c r="O189" t="str">
        <f>IF(TRIM(J189)="","NULL",IFERROR(VLOOKUP(TRIM(J189),Lookup_PropertyType!$A:$B,2,FALSE()),"other"))</f>
        <v>NULL</v>
      </c>
      <c r="P189">
        <f t="shared" si="2"/>
        <v>1</v>
      </c>
    </row>
    <row r="190" spans="1:16" ht="15.75" customHeight="1" x14ac:dyDescent="0.35">
      <c r="A190" s="13">
        <v>189</v>
      </c>
      <c r="B190" s="14">
        <v>45821</v>
      </c>
      <c r="C190" s="15"/>
      <c r="D190" s="16" t="s">
        <v>32</v>
      </c>
      <c r="E190" s="17">
        <v>6500</v>
      </c>
      <c r="F190" s="13">
        <v>180</v>
      </c>
      <c r="G190" s="13">
        <v>433</v>
      </c>
      <c r="H190" s="19">
        <v>250000</v>
      </c>
      <c r="I190" s="19">
        <v>80000</v>
      </c>
      <c r="J190" s="20" t="s">
        <v>37</v>
      </c>
      <c r="K190" s="13">
        <v>50</v>
      </c>
      <c r="L190" s="21" t="s">
        <v>59</v>
      </c>
      <c r="M190" s="21" t="s">
        <v>39</v>
      </c>
      <c r="N190" s="16" t="s">
        <v>42</v>
      </c>
      <c r="O190" t="str">
        <f>IF(TRIM(J190)="","NULL",IFERROR(VLOOKUP(TRIM(J190),Lookup_PropertyType!$A:$B,2,FALSE()),"other"))</f>
        <v>house</v>
      </c>
      <c r="P190">
        <f t="shared" si="2"/>
        <v>0</v>
      </c>
    </row>
    <row r="191" spans="1:16" ht="15.75" customHeight="1" x14ac:dyDescent="0.35">
      <c r="A191" s="13">
        <v>190</v>
      </c>
      <c r="B191" s="14">
        <v>45932</v>
      </c>
      <c r="C191" s="15"/>
      <c r="D191" s="16" t="s">
        <v>32</v>
      </c>
      <c r="E191" s="17">
        <v>50000</v>
      </c>
      <c r="F191" s="18"/>
      <c r="G191" s="18"/>
      <c r="H191" s="19">
        <v>380000</v>
      </c>
      <c r="I191" s="19">
        <v>160000</v>
      </c>
      <c r="J191" s="20" t="s">
        <v>37</v>
      </c>
      <c r="K191" s="13">
        <v>50</v>
      </c>
      <c r="L191" s="21" t="s">
        <v>41</v>
      </c>
      <c r="M191" s="21" t="s">
        <v>39</v>
      </c>
      <c r="N191" s="16" t="s">
        <v>36</v>
      </c>
      <c r="O191" t="str">
        <f>IF(TRIM(J191)="","NULL",IFERROR(VLOOKUP(TRIM(J191),Lookup_PropertyType!$A:$B,2,FALSE()),"other"))</f>
        <v>house</v>
      </c>
      <c r="P191">
        <f t="shared" si="2"/>
        <v>0</v>
      </c>
    </row>
    <row r="192" spans="1:16" ht="15.75" customHeight="1" x14ac:dyDescent="0.35">
      <c r="A192" s="13">
        <v>191</v>
      </c>
      <c r="B192" s="14">
        <v>45680</v>
      </c>
      <c r="C192" s="14">
        <v>45736</v>
      </c>
      <c r="D192" s="16" t="s">
        <v>58</v>
      </c>
      <c r="E192" s="17">
        <v>7900</v>
      </c>
      <c r="F192" s="18"/>
      <c r="G192" s="18"/>
      <c r="H192" s="19">
        <v>500000</v>
      </c>
      <c r="I192" s="19">
        <v>60000</v>
      </c>
      <c r="J192" s="20" t="s">
        <v>33</v>
      </c>
      <c r="K192" s="13">
        <v>49</v>
      </c>
      <c r="L192" s="21" t="s">
        <v>38</v>
      </c>
      <c r="M192" s="21" t="s">
        <v>39</v>
      </c>
      <c r="N192" s="16" t="s">
        <v>42</v>
      </c>
      <c r="O192" t="str">
        <f>IF(TRIM(J192)="","NULL",IFERROR(VLOOKUP(TRIM(J192),Lookup_PropertyType!$A:$B,2,FALSE()),"other"))</f>
        <v>apartment</v>
      </c>
      <c r="P192">
        <f t="shared" si="2"/>
        <v>1</v>
      </c>
    </row>
    <row r="193" spans="1:16" ht="15.75" customHeight="1" x14ac:dyDescent="0.35">
      <c r="A193" s="13">
        <v>192</v>
      </c>
      <c r="B193" s="14">
        <v>45663</v>
      </c>
      <c r="C193" s="14">
        <v>45726</v>
      </c>
      <c r="D193" s="16" t="s">
        <v>32</v>
      </c>
      <c r="E193" s="17">
        <v>4500</v>
      </c>
      <c r="F193" s="18"/>
      <c r="G193" s="18"/>
      <c r="H193" s="19">
        <v>310000</v>
      </c>
      <c r="I193" s="19">
        <v>45000</v>
      </c>
      <c r="J193" s="20" t="s">
        <v>33</v>
      </c>
      <c r="K193" s="13">
        <v>30</v>
      </c>
      <c r="L193" s="21" t="s">
        <v>38</v>
      </c>
      <c r="M193" s="21" t="s">
        <v>39</v>
      </c>
      <c r="N193" s="16" t="s">
        <v>40</v>
      </c>
      <c r="O193" t="str">
        <f>IF(TRIM(J193)="","NULL",IFERROR(VLOOKUP(TRIM(J193),Lookup_PropertyType!$A:$B,2,FALSE()),"other"))</f>
        <v>apartment</v>
      </c>
      <c r="P193">
        <f t="shared" si="2"/>
        <v>1</v>
      </c>
    </row>
    <row r="194" spans="1:16" ht="15.75" customHeight="1" x14ac:dyDescent="0.35">
      <c r="A194" s="13">
        <v>193</v>
      </c>
      <c r="B194" s="14">
        <v>45646</v>
      </c>
      <c r="C194" s="15"/>
      <c r="D194" s="16" t="s">
        <v>32</v>
      </c>
      <c r="E194" s="17">
        <v>5000</v>
      </c>
      <c r="F194" s="18"/>
      <c r="G194" s="18"/>
      <c r="H194" s="19">
        <v>280000</v>
      </c>
      <c r="I194" s="19">
        <v>335973</v>
      </c>
      <c r="J194" s="20" t="s">
        <v>33</v>
      </c>
      <c r="K194" s="13">
        <v>44</v>
      </c>
      <c r="L194" s="21" t="s">
        <v>45</v>
      </c>
      <c r="M194" s="21" t="s">
        <v>39</v>
      </c>
      <c r="N194" s="16" t="s">
        <v>42</v>
      </c>
      <c r="O194" t="str">
        <f>IF(TRIM(J194)="","NULL",IFERROR(VLOOKUP(TRIM(J194),Lookup_PropertyType!$A:$B,2,FALSE()),"other"))</f>
        <v>apartment</v>
      </c>
      <c r="P194">
        <f t="shared" ref="P194:P257" si="3">IF(AND(C194&lt;&gt;"",C194&gt;=B194),1,0)</f>
        <v>0</v>
      </c>
    </row>
    <row r="195" spans="1:16" ht="15.75" customHeight="1" x14ac:dyDescent="0.35">
      <c r="A195" s="13">
        <v>194</v>
      </c>
      <c r="B195" s="14">
        <v>45684</v>
      </c>
      <c r="C195" s="15"/>
      <c r="D195" s="16" t="s">
        <v>32</v>
      </c>
      <c r="E195" s="17">
        <v>20000</v>
      </c>
      <c r="F195" s="18"/>
      <c r="G195" s="18"/>
      <c r="H195" s="19">
        <v>550000</v>
      </c>
      <c r="I195" s="19">
        <v>210000</v>
      </c>
      <c r="J195" s="20" t="s">
        <v>33</v>
      </c>
      <c r="K195" s="13">
        <v>59</v>
      </c>
      <c r="L195" s="21" t="s">
        <v>41</v>
      </c>
      <c r="M195" s="21" t="s">
        <v>39</v>
      </c>
      <c r="N195" s="16" t="s">
        <v>36</v>
      </c>
      <c r="O195" t="str">
        <f>IF(TRIM(J195)="","NULL",IFERROR(VLOOKUP(TRIM(J195),Lookup_PropertyType!$A:$B,2,FALSE()),"other"))</f>
        <v>apartment</v>
      </c>
      <c r="P195">
        <f t="shared" si="3"/>
        <v>0</v>
      </c>
    </row>
    <row r="196" spans="1:16" ht="15.75" customHeight="1" x14ac:dyDescent="0.35">
      <c r="A196" s="13">
        <v>195</v>
      </c>
      <c r="B196" s="14">
        <v>45676</v>
      </c>
      <c r="C196" s="15"/>
      <c r="D196" s="16" t="s">
        <v>32</v>
      </c>
      <c r="E196" s="17">
        <v>15000</v>
      </c>
      <c r="F196" s="18"/>
      <c r="G196" s="18"/>
      <c r="H196" s="19">
        <v>350000</v>
      </c>
      <c r="I196" s="19">
        <v>80000</v>
      </c>
      <c r="J196" s="20" t="s">
        <v>53</v>
      </c>
      <c r="K196" s="13">
        <v>63</v>
      </c>
      <c r="L196" s="21" t="s">
        <v>45</v>
      </c>
      <c r="M196" s="21" t="s">
        <v>39</v>
      </c>
      <c r="N196" s="16" t="s">
        <v>40</v>
      </c>
      <c r="O196" t="str">
        <f>IF(TRIM(J196)="","NULL",IFERROR(VLOOKUP(TRIM(J196),Lookup_PropertyType!$A:$B,2,FALSE()),"other"))</f>
        <v>other</v>
      </c>
      <c r="P196">
        <f t="shared" si="3"/>
        <v>0</v>
      </c>
    </row>
    <row r="197" spans="1:16" ht="15.75" customHeight="1" x14ac:dyDescent="0.35">
      <c r="A197" s="13">
        <v>196</v>
      </c>
      <c r="B197" s="14">
        <v>45684</v>
      </c>
      <c r="C197" s="14">
        <v>45739</v>
      </c>
      <c r="D197" s="16" t="s">
        <v>32</v>
      </c>
      <c r="E197" s="17">
        <v>30000</v>
      </c>
      <c r="F197" s="18"/>
      <c r="G197" s="18"/>
      <c r="H197" s="19">
        <v>350000</v>
      </c>
      <c r="I197" s="19">
        <v>200000</v>
      </c>
      <c r="J197" s="20"/>
      <c r="K197" s="13">
        <v>37</v>
      </c>
      <c r="L197" s="21" t="s">
        <v>41</v>
      </c>
      <c r="M197" s="21" t="s">
        <v>72</v>
      </c>
      <c r="N197" s="16" t="s">
        <v>36</v>
      </c>
      <c r="O197" t="str">
        <f>IF(TRIM(J197)="","NULL",IFERROR(VLOOKUP(TRIM(J197),Lookup_PropertyType!$A:$B,2,FALSE()),"other"))</f>
        <v>NULL</v>
      </c>
      <c r="P197">
        <f t="shared" si="3"/>
        <v>1</v>
      </c>
    </row>
    <row r="198" spans="1:16" ht="15.75" customHeight="1" x14ac:dyDescent="0.35">
      <c r="A198" s="13">
        <v>197</v>
      </c>
      <c r="B198" s="14">
        <v>45681</v>
      </c>
      <c r="C198" s="15"/>
      <c r="D198" s="16" t="s">
        <v>32</v>
      </c>
      <c r="E198" s="17">
        <v>30000</v>
      </c>
      <c r="F198" s="18"/>
      <c r="G198" s="18"/>
      <c r="H198" s="19">
        <v>1000000</v>
      </c>
      <c r="I198" s="19">
        <v>400000</v>
      </c>
      <c r="J198" s="20" t="s">
        <v>37</v>
      </c>
      <c r="K198" s="13">
        <v>68</v>
      </c>
      <c r="L198" s="21" t="s">
        <v>45</v>
      </c>
      <c r="M198" s="21" t="s">
        <v>72</v>
      </c>
      <c r="N198" s="16" t="s">
        <v>51</v>
      </c>
      <c r="O198" t="str">
        <f>IF(TRIM(J198)="","NULL",IFERROR(VLOOKUP(TRIM(J198),Lookup_PropertyType!$A:$B,2,FALSE()),"other"))</f>
        <v>house</v>
      </c>
      <c r="P198">
        <f t="shared" si="3"/>
        <v>0</v>
      </c>
    </row>
    <row r="199" spans="1:16" ht="15.75" customHeight="1" x14ac:dyDescent="0.35">
      <c r="A199" s="13">
        <v>198</v>
      </c>
      <c r="B199" s="14">
        <v>45709</v>
      </c>
      <c r="C199" s="15"/>
      <c r="D199" s="16" t="s">
        <v>61</v>
      </c>
      <c r="E199" s="17">
        <v>18000</v>
      </c>
      <c r="F199" s="18"/>
      <c r="G199" s="18"/>
      <c r="H199" s="19">
        <v>700000</v>
      </c>
      <c r="I199" s="19">
        <v>150000</v>
      </c>
      <c r="J199" s="20" t="s">
        <v>33</v>
      </c>
      <c r="K199" s="13">
        <v>54</v>
      </c>
      <c r="L199" s="21" t="s">
        <v>41</v>
      </c>
      <c r="M199" s="21" t="s">
        <v>39</v>
      </c>
      <c r="N199" s="16" t="s">
        <v>42</v>
      </c>
      <c r="O199" t="str">
        <f>IF(TRIM(J199)="","NULL",IFERROR(VLOOKUP(TRIM(J199),Lookup_PropertyType!$A:$B,2,FALSE()),"other"))</f>
        <v>apartment</v>
      </c>
      <c r="P199">
        <f t="shared" si="3"/>
        <v>0</v>
      </c>
    </row>
    <row r="200" spans="1:16" ht="15.75" customHeight="1" x14ac:dyDescent="0.35">
      <c r="A200" s="13">
        <v>199</v>
      </c>
      <c r="B200" s="14">
        <v>45831</v>
      </c>
      <c r="C200" s="14">
        <v>45914</v>
      </c>
      <c r="D200" s="16" t="s">
        <v>58</v>
      </c>
      <c r="E200" s="17">
        <v>5722</v>
      </c>
      <c r="F200" s="18"/>
      <c r="G200" s="18"/>
      <c r="H200" s="19">
        <v>240000</v>
      </c>
      <c r="I200" s="19">
        <v>100000</v>
      </c>
      <c r="J200" s="20" t="s">
        <v>33</v>
      </c>
      <c r="K200" s="13">
        <v>48</v>
      </c>
      <c r="L200" s="21" t="s">
        <v>38</v>
      </c>
      <c r="M200" s="21" t="s">
        <v>39</v>
      </c>
      <c r="N200" s="16" t="s">
        <v>42</v>
      </c>
      <c r="O200" t="str">
        <f>IF(TRIM(J200)="","NULL",IFERROR(VLOOKUP(TRIM(J200),Lookup_PropertyType!$A:$B,2,FALSE()),"other"))</f>
        <v>apartment</v>
      </c>
      <c r="P200">
        <f t="shared" si="3"/>
        <v>1</v>
      </c>
    </row>
    <row r="201" spans="1:16" ht="15.75" customHeight="1" x14ac:dyDescent="0.35">
      <c r="A201" s="13">
        <v>200</v>
      </c>
      <c r="B201" s="14">
        <v>45663</v>
      </c>
      <c r="C201" s="15"/>
      <c r="D201" s="16" t="s">
        <v>61</v>
      </c>
      <c r="E201" s="17">
        <v>6500</v>
      </c>
      <c r="F201" s="18"/>
      <c r="G201" s="18"/>
      <c r="H201" s="19">
        <v>450000</v>
      </c>
      <c r="I201" s="19">
        <v>80000</v>
      </c>
      <c r="J201" s="20" t="s">
        <v>33</v>
      </c>
      <c r="K201" s="13">
        <v>65</v>
      </c>
      <c r="L201" s="21" t="s">
        <v>59</v>
      </c>
      <c r="M201" s="21" t="s">
        <v>39</v>
      </c>
      <c r="N201" s="16" t="s">
        <v>36</v>
      </c>
      <c r="O201" t="str">
        <f>IF(TRIM(J201)="","NULL",IFERROR(VLOOKUP(TRIM(J201),Lookup_PropertyType!$A:$B,2,FALSE()),"other"))</f>
        <v>apartment</v>
      </c>
      <c r="P201">
        <f t="shared" si="3"/>
        <v>0</v>
      </c>
    </row>
    <row r="202" spans="1:16" ht="15.75" customHeight="1" x14ac:dyDescent="0.35">
      <c r="A202" s="13">
        <v>201</v>
      </c>
      <c r="B202" s="14">
        <v>45683</v>
      </c>
      <c r="C202" s="14">
        <v>45702</v>
      </c>
      <c r="D202" s="16" t="s">
        <v>32</v>
      </c>
      <c r="E202" s="17">
        <v>13000</v>
      </c>
      <c r="F202" s="18"/>
      <c r="G202" s="18"/>
      <c r="H202" s="19">
        <v>275000</v>
      </c>
      <c r="I202" s="19">
        <v>80000</v>
      </c>
      <c r="J202" s="20" t="s">
        <v>37</v>
      </c>
      <c r="K202" s="13">
        <v>39</v>
      </c>
      <c r="L202" s="21" t="s">
        <v>38</v>
      </c>
      <c r="M202" s="21" t="s">
        <v>39</v>
      </c>
      <c r="N202" s="16" t="s">
        <v>36</v>
      </c>
      <c r="O202" t="str">
        <f>IF(TRIM(J202)="","NULL",IFERROR(VLOOKUP(TRIM(J202),Lookup_PropertyType!$A:$B,2,FALSE()),"other"))</f>
        <v>house</v>
      </c>
      <c r="P202">
        <f t="shared" si="3"/>
        <v>1</v>
      </c>
    </row>
    <row r="203" spans="1:16" ht="15.75" customHeight="1" x14ac:dyDescent="0.35">
      <c r="A203" s="13">
        <v>202</v>
      </c>
      <c r="B203" s="14">
        <v>45708</v>
      </c>
      <c r="C203" s="14">
        <v>45780</v>
      </c>
      <c r="D203" s="16" t="s">
        <v>32</v>
      </c>
      <c r="E203" s="17">
        <v>26000</v>
      </c>
      <c r="F203" s="18"/>
      <c r="G203" s="18"/>
      <c r="H203" s="19">
        <v>750000</v>
      </c>
      <c r="I203" s="19">
        <v>320000</v>
      </c>
      <c r="J203" s="20" t="s">
        <v>33</v>
      </c>
      <c r="K203" s="13">
        <v>62</v>
      </c>
      <c r="L203" s="21" t="s">
        <v>38</v>
      </c>
      <c r="M203" s="21" t="s">
        <v>39</v>
      </c>
      <c r="N203" s="16" t="s">
        <v>42</v>
      </c>
      <c r="O203" t="str">
        <f>IF(TRIM(J203)="","NULL",IFERROR(VLOOKUP(TRIM(J203),Lookup_PropertyType!$A:$B,2,FALSE()),"other"))</f>
        <v>apartment</v>
      </c>
      <c r="P203">
        <f t="shared" si="3"/>
        <v>1</v>
      </c>
    </row>
    <row r="204" spans="1:16" ht="15.75" customHeight="1" x14ac:dyDescent="0.35">
      <c r="A204" s="13">
        <v>203</v>
      </c>
      <c r="B204" s="14">
        <v>45680</v>
      </c>
      <c r="C204" s="14">
        <v>45813</v>
      </c>
      <c r="D204" s="16" t="s">
        <v>44</v>
      </c>
      <c r="E204" s="17">
        <v>20000</v>
      </c>
      <c r="F204" s="18"/>
      <c r="G204" s="18"/>
      <c r="H204" s="19">
        <v>900000</v>
      </c>
      <c r="I204" s="19">
        <v>200000</v>
      </c>
      <c r="J204" s="20"/>
      <c r="K204" s="13">
        <v>55</v>
      </c>
      <c r="L204" s="21" t="s">
        <v>45</v>
      </c>
      <c r="M204" s="21" t="s">
        <v>39</v>
      </c>
      <c r="N204" s="16" t="s">
        <v>50</v>
      </c>
      <c r="O204" t="str">
        <f>IF(TRIM(J204)="","NULL",IFERROR(VLOOKUP(TRIM(J204),Lookup_PropertyType!$A:$B,2,FALSE()),"other"))</f>
        <v>NULL</v>
      </c>
      <c r="P204">
        <f t="shared" si="3"/>
        <v>1</v>
      </c>
    </row>
    <row r="205" spans="1:16" ht="15.75" customHeight="1" x14ac:dyDescent="0.35">
      <c r="A205" s="13">
        <v>204</v>
      </c>
      <c r="B205" s="14">
        <v>45842</v>
      </c>
      <c r="C205" s="15"/>
      <c r="D205" s="16" t="s">
        <v>32</v>
      </c>
      <c r="E205" s="17">
        <v>35000</v>
      </c>
      <c r="F205" s="18"/>
      <c r="G205" s="18"/>
      <c r="H205" s="19">
        <v>2500000</v>
      </c>
      <c r="I205" s="19">
        <v>350000</v>
      </c>
      <c r="J205" s="20" t="s">
        <v>33</v>
      </c>
      <c r="K205" s="13">
        <v>59</v>
      </c>
      <c r="L205" s="21" t="s">
        <v>38</v>
      </c>
      <c r="M205" s="21" t="s">
        <v>39</v>
      </c>
      <c r="N205" s="16" t="s">
        <v>36</v>
      </c>
      <c r="O205" t="str">
        <f>IF(TRIM(J205)="","NULL",IFERROR(VLOOKUP(TRIM(J205),Lookup_PropertyType!$A:$B,2,FALSE()),"other"))</f>
        <v>apartment</v>
      </c>
      <c r="P205">
        <f t="shared" si="3"/>
        <v>0</v>
      </c>
    </row>
    <row r="206" spans="1:16" ht="15.75" customHeight="1" x14ac:dyDescent="0.35">
      <c r="A206" s="13">
        <v>205</v>
      </c>
      <c r="B206" s="14">
        <v>45698</v>
      </c>
      <c r="C206" s="15"/>
      <c r="D206" s="16" t="s">
        <v>32</v>
      </c>
      <c r="E206" s="17">
        <v>20000</v>
      </c>
      <c r="F206" s="18"/>
      <c r="G206" s="18"/>
      <c r="H206" s="19">
        <v>700000</v>
      </c>
      <c r="I206" s="19">
        <v>30000</v>
      </c>
      <c r="J206" s="20" t="s">
        <v>33</v>
      </c>
      <c r="K206" s="13">
        <v>49</v>
      </c>
      <c r="L206" s="21" t="s">
        <v>59</v>
      </c>
      <c r="M206" s="21" t="s">
        <v>35</v>
      </c>
      <c r="N206" s="16" t="s">
        <v>40</v>
      </c>
      <c r="O206" t="str">
        <f>IF(TRIM(J206)="","NULL",IFERROR(VLOOKUP(TRIM(J206),Lookup_PropertyType!$A:$B,2,FALSE()),"other"))</f>
        <v>apartment</v>
      </c>
      <c r="P206">
        <f t="shared" si="3"/>
        <v>0</v>
      </c>
    </row>
    <row r="207" spans="1:16" ht="15.75" customHeight="1" x14ac:dyDescent="0.35">
      <c r="A207" s="13">
        <v>206</v>
      </c>
      <c r="B207" s="14">
        <v>45668</v>
      </c>
      <c r="C207" s="14">
        <v>45736</v>
      </c>
      <c r="D207" s="16" t="s">
        <v>32</v>
      </c>
      <c r="E207" s="17">
        <v>23000</v>
      </c>
      <c r="F207" s="18"/>
      <c r="G207" s="18"/>
      <c r="H207" s="19">
        <v>550000</v>
      </c>
      <c r="I207" s="19">
        <v>250000</v>
      </c>
      <c r="J207" s="20" t="s">
        <v>37</v>
      </c>
      <c r="K207" s="13">
        <v>48</v>
      </c>
      <c r="L207" s="21" t="s">
        <v>38</v>
      </c>
      <c r="M207" s="21" t="s">
        <v>39</v>
      </c>
      <c r="N207" s="16" t="s">
        <v>42</v>
      </c>
      <c r="O207" t="str">
        <f>IF(TRIM(J207)="","NULL",IFERROR(VLOOKUP(TRIM(J207),Lookup_PropertyType!$A:$B,2,FALSE()),"other"))</f>
        <v>house</v>
      </c>
      <c r="P207">
        <f t="shared" si="3"/>
        <v>1</v>
      </c>
    </row>
    <row r="208" spans="1:16" ht="15.75" customHeight="1" x14ac:dyDescent="0.35">
      <c r="A208" s="13">
        <v>207</v>
      </c>
      <c r="B208" s="14">
        <v>45687</v>
      </c>
      <c r="C208" s="15"/>
      <c r="D208" s="16" t="s">
        <v>32</v>
      </c>
      <c r="E208" s="17">
        <v>6000</v>
      </c>
      <c r="F208" s="18"/>
      <c r="G208" s="18"/>
      <c r="H208" s="19">
        <v>300000</v>
      </c>
      <c r="I208" s="19">
        <v>30000</v>
      </c>
      <c r="J208" s="20" t="s">
        <v>33</v>
      </c>
      <c r="K208" s="13">
        <v>58</v>
      </c>
      <c r="L208" s="21" t="s">
        <v>38</v>
      </c>
      <c r="M208" s="21" t="s">
        <v>39</v>
      </c>
      <c r="N208" s="16" t="s">
        <v>51</v>
      </c>
      <c r="O208" t="str">
        <f>IF(TRIM(J208)="","NULL",IFERROR(VLOOKUP(TRIM(J208),Lookup_PropertyType!$A:$B,2,FALSE()),"other"))</f>
        <v>apartment</v>
      </c>
      <c r="P208">
        <f t="shared" si="3"/>
        <v>0</v>
      </c>
    </row>
    <row r="209" spans="1:16" ht="15.75" customHeight="1" x14ac:dyDescent="0.35">
      <c r="A209" s="13">
        <v>208</v>
      </c>
      <c r="B209" s="14">
        <v>45687</v>
      </c>
      <c r="C209" s="15"/>
      <c r="D209" s="16" t="s">
        <v>58</v>
      </c>
      <c r="E209" s="17">
        <v>5000</v>
      </c>
      <c r="F209" s="18"/>
      <c r="G209" s="18"/>
      <c r="H209" s="19">
        <v>250000</v>
      </c>
      <c r="I209" s="19">
        <v>60000</v>
      </c>
      <c r="J209" s="20" t="s">
        <v>33</v>
      </c>
      <c r="K209" s="13">
        <v>74</v>
      </c>
      <c r="L209" s="21" t="s">
        <v>38</v>
      </c>
      <c r="M209" s="21" t="s">
        <v>48</v>
      </c>
      <c r="N209" s="16" t="s">
        <v>43</v>
      </c>
      <c r="O209" t="str">
        <f>IF(TRIM(J209)="","NULL",IFERROR(VLOOKUP(TRIM(J209),Lookup_PropertyType!$A:$B,2,FALSE()),"other"))</f>
        <v>apartment</v>
      </c>
      <c r="P209">
        <f t="shared" si="3"/>
        <v>0</v>
      </c>
    </row>
    <row r="210" spans="1:16" ht="15.75" customHeight="1" x14ac:dyDescent="0.35">
      <c r="A210" s="13">
        <v>209</v>
      </c>
      <c r="B210" s="14">
        <v>45709</v>
      </c>
      <c r="C210" s="15"/>
      <c r="D210" s="16" t="s">
        <v>32</v>
      </c>
      <c r="E210" s="17">
        <v>30000</v>
      </c>
      <c r="F210" s="18"/>
      <c r="G210" s="18"/>
      <c r="H210" s="19">
        <v>1000000</v>
      </c>
      <c r="I210" s="19">
        <v>400000</v>
      </c>
      <c r="J210" s="20" t="s">
        <v>53</v>
      </c>
      <c r="K210" s="13">
        <v>74</v>
      </c>
      <c r="L210" s="21" t="s">
        <v>38</v>
      </c>
      <c r="M210" s="21" t="s">
        <v>39</v>
      </c>
      <c r="N210" s="16" t="s">
        <v>40</v>
      </c>
      <c r="O210" t="str">
        <f>IF(TRIM(J210)="","NULL",IFERROR(VLOOKUP(TRIM(J210),Lookup_PropertyType!$A:$B,2,FALSE()),"other"))</f>
        <v>other</v>
      </c>
      <c r="P210">
        <f t="shared" si="3"/>
        <v>0</v>
      </c>
    </row>
    <row r="211" spans="1:16" ht="15.75" customHeight="1" x14ac:dyDescent="0.35">
      <c r="A211" s="13">
        <v>210</v>
      </c>
      <c r="B211" s="14">
        <v>45746</v>
      </c>
      <c r="C211" s="15"/>
      <c r="D211" s="16" t="s">
        <v>32</v>
      </c>
      <c r="E211" s="17">
        <v>5000</v>
      </c>
      <c r="F211" s="18"/>
      <c r="G211" s="18"/>
      <c r="H211" s="19">
        <v>500000</v>
      </c>
      <c r="I211" s="19">
        <v>50000</v>
      </c>
      <c r="J211" s="20" t="s">
        <v>37</v>
      </c>
      <c r="K211" s="13">
        <v>62</v>
      </c>
      <c r="L211" s="21" t="s">
        <v>38</v>
      </c>
      <c r="M211" s="21" t="s">
        <v>67</v>
      </c>
      <c r="N211" s="16" t="s">
        <v>36</v>
      </c>
      <c r="O211" t="str">
        <f>IF(TRIM(J211)="","NULL",IFERROR(VLOOKUP(TRIM(J211),Lookup_PropertyType!$A:$B,2,FALSE()),"other"))</f>
        <v>house</v>
      </c>
      <c r="P211">
        <f t="shared" si="3"/>
        <v>0</v>
      </c>
    </row>
    <row r="212" spans="1:16" ht="15.75" customHeight="1" x14ac:dyDescent="0.35">
      <c r="A212" s="13">
        <v>211</v>
      </c>
      <c r="B212" s="14">
        <v>45750</v>
      </c>
      <c r="C212" s="15"/>
      <c r="D212" s="16" t="s">
        <v>32</v>
      </c>
      <c r="E212" s="17">
        <v>22000</v>
      </c>
      <c r="F212" s="18"/>
      <c r="G212" s="18"/>
      <c r="H212" s="19">
        <v>1500000</v>
      </c>
      <c r="I212" s="19">
        <v>120000</v>
      </c>
      <c r="J212" s="20" t="s">
        <v>37</v>
      </c>
      <c r="K212" s="13">
        <v>48</v>
      </c>
      <c r="L212" s="21" t="s">
        <v>38</v>
      </c>
      <c r="M212" s="21" t="s">
        <v>39</v>
      </c>
      <c r="N212" s="16" t="s">
        <v>42</v>
      </c>
      <c r="O212" t="str">
        <f>IF(TRIM(J212)="","NULL",IFERROR(VLOOKUP(TRIM(J212),Lookup_PropertyType!$A:$B,2,FALSE()),"other"))</f>
        <v>house</v>
      </c>
      <c r="P212">
        <f t="shared" si="3"/>
        <v>0</v>
      </c>
    </row>
    <row r="213" spans="1:16" ht="15.75" customHeight="1" x14ac:dyDescent="0.35">
      <c r="A213" s="13">
        <v>212</v>
      </c>
      <c r="B213" s="14">
        <v>45694</v>
      </c>
      <c r="C213" s="14">
        <v>45737</v>
      </c>
      <c r="D213" s="16" t="s">
        <v>32</v>
      </c>
      <c r="E213" s="17">
        <v>20000</v>
      </c>
      <c r="F213" s="18"/>
      <c r="G213" s="18"/>
      <c r="H213" s="19">
        <v>1000000</v>
      </c>
      <c r="I213" s="19">
        <v>300000</v>
      </c>
      <c r="J213" s="20" t="s">
        <v>37</v>
      </c>
      <c r="K213" s="13">
        <v>49</v>
      </c>
      <c r="L213" s="21" t="s">
        <v>41</v>
      </c>
      <c r="M213" s="21" t="s">
        <v>48</v>
      </c>
      <c r="N213" s="16" t="s">
        <v>36</v>
      </c>
      <c r="O213" t="str">
        <f>IF(TRIM(J213)="","NULL",IFERROR(VLOOKUP(TRIM(J213),Lookup_PropertyType!$A:$B,2,FALSE()),"other"))</f>
        <v>house</v>
      </c>
      <c r="P213">
        <f t="shared" si="3"/>
        <v>1</v>
      </c>
    </row>
    <row r="214" spans="1:16" ht="15.75" customHeight="1" x14ac:dyDescent="0.35">
      <c r="A214" s="13">
        <v>213</v>
      </c>
      <c r="B214" s="14">
        <v>45793</v>
      </c>
      <c r="C214" s="14">
        <v>45865</v>
      </c>
      <c r="D214" s="16" t="s">
        <v>32</v>
      </c>
      <c r="E214" s="17">
        <v>18000</v>
      </c>
      <c r="F214" s="18"/>
      <c r="G214" s="18"/>
      <c r="H214" s="19">
        <v>750000</v>
      </c>
      <c r="I214" s="19">
        <v>150000</v>
      </c>
      <c r="J214" s="20" t="s">
        <v>33</v>
      </c>
      <c r="K214" s="13">
        <v>48</v>
      </c>
      <c r="L214" s="21" t="s">
        <v>38</v>
      </c>
      <c r="M214" s="21" t="s">
        <v>39</v>
      </c>
      <c r="N214" s="16" t="s">
        <v>42</v>
      </c>
      <c r="O214" t="str">
        <f>IF(TRIM(J214)="","NULL",IFERROR(VLOOKUP(TRIM(J214),Lookup_PropertyType!$A:$B,2,FALSE()),"other"))</f>
        <v>apartment</v>
      </c>
      <c r="P214">
        <f t="shared" si="3"/>
        <v>1</v>
      </c>
    </row>
    <row r="215" spans="1:16" ht="15.75" customHeight="1" x14ac:dyDescent="0.35">
      <c r="A215" s="13">
        <v>214</v>
      </c>
      <c r="B215" s="14">
        <v>45751</v>
      </c>
      <c r="C215" s="14">
        <v>45786</v>
      </c>
      <c r="D215" s="16" t="s">
        <v>32</v>
      </c>
      <c r="E215" s="17">
        <v>10000</v>
      </c>
      <c r="F215" s="18"/>
      <c r="G215" s="18"/>
      <c r="H215" s="19">
        <v>600000</v>
      </c>
      <c r="I215" s="19">
        <v>60000</v>
      </c>
      <c r="J215" s="20" t="s">
        <v>33</v>
      </c>
      <c r="K215" s="13">
        <v>59</v>
      </c>
      <c r="L215" s="21" t="s">
        <v>45</v>
      </c>
      <c r="M215" s="21" t="s">
        <v>39</v>
      </c>
      <c r="N215" s="16" t="s">
        <v>36</v>
      </c>
      <c r="O215" t="str">
        <f>IF(TRIM(J215)="","NULL",IFERROR(VLOOKUP(TRIM(J215),Lookup_PropertyType!$A:$B,2,FALSE()),"other"))</f>
        <v>apartment</v>
      </c>
      <c r="P215">
        <f t="shared" si="3"/>
        <v>1</v>
      </c>
    </row>
    <row r="216" spans="1:16" ht="15.75" customHeight="1" x14ac:dyDescent="0.35">
      <c r="A216" s="13">
        <v>215</v>
      </c>
      <c r="B216" s="14">
        <v>45703</v>
      </c>
      <c r="C216" s="14">
        <v>45730</v>
      </c>
      <c r="D216" s="16" t="s">
        <v>44</v>
      </c>
      <c r="E216" s="17">
        <v>15000</v>
      </c>
      <c r="F216" s="18"/>
      <c r="G216" s="18"/>
      <c r="H216" s="19">
        <v>600000</v>
      </c>
      <c r="I216" s="19">
        <v>150000</v>
      </c>
      <c r="J216" s="20" t="s">
        <v>37</v>
      </c>
      <c r="K216" s="13">
        <v>60</v>
      </c>
      <c r="L216" s="21" t="s">
        <v>41</v>
      </c>
      <c r="M216" s="21" t="s">
        <v>67</v>
      </c>
      <c r="N216" s="16" t="s">
        <v>36</v>
      </c>
      <c r="O216" t="str">
        <f>IF(TRIM(J216)="","NULL",IFERROR(VLOOKUP(TRIM(J216),Lookup_PropertyType!$A:$B,2,FALSE()),"other"))</f>
        <v>house</v>
      </c>
      <c r="P216">
        <f t="shared" si="3"/>
        <v>1</v>
      </c>
    </row>
    <row r="217" spans="1:16" ht="15.75" customHeight="1" x14ac:dyDescent="0.35">
      <c r="A217" s="13">
        <v>216</v>
      </c>
      <c r="B217" s="14">
        <v>45723</v>
      </c>
      <c r="C217" s="14">
        <v>45814</v>
      </c>
      <c r="D217" s="16" t="s">
        <v>32</v>
      </c>
      <c r="E217" s="17">
        <v>10500</v>
      </c>
      <c r="F217" s="18"/>
      <c r="G217" s="18"/>
      <c r="H217" s="19">
        <v>400000</v>
      </c>
      <c r="I217" s="19">
        <v>120000</v>
      </c>
      <c r="J217" s="20" t="s">
        <v>37</v>
      </c>
      <c r="K217" s="13">
        <v>45</v>
      </c>
      <c r="L217" s="21" t="s">
        <v>34</v>
      </c>
      <c r="M217" s="21" t="s">
        <v>39</v>
      </c>
      <c r="N217" s="16" t="s">
        <v>42</v>
      </c>
      <c r="O217" t="str">
        <f>IF(TRIM(J217)="","NULL",IFERROR(VLOOKUP(TRIM(J217),Lookup_PropertyType!$A:$B,2,FALSE()),"other"))</f>
        <v>house</v>
      </c>
      <c r="P217">
        <f t="shared" si="3"/>
        <v>1</v>
      </c>
    </row>
    <row r="218" spans="1:16" ht="15.75" customHeight="1" x14ac:dyDescent="0.35">
      <c r="A218" s="13">
        <v>217</v>
      </c>
      <c r="B218" s="14">
        <v>45725</v>
      </c>
      <c r="C218" s="14">
        <v>46027</v>
      </c>
      <c r="D218" s="16" t="s">
        <v>32</v>
      </c>
      <c r="E218" s="17">
        <v>30000</v>
      </c>
      <c r="F218" s="18"/>
      <c r="G218" s="18"/>
      <c r="H218" s="19">
        <v>4200000</v>
      </c>
      <c r="I218" s="19">
        <v>150000</v>
      </c>
      <c r="J218" s="20" t="s">
        <v>33</v>
      </c>
      <c r="K218" s="13">
        <v>34</v>
      </c>
      <c r="L218" s="21" t="s">
        <v>59</v>
      </c>
      <c r="M218" s="21" t="s">
        <v>39</v>
      </c>
      <c r="N218" s="16" t="s">
        <v>42</v>
      </c>
      <c r="O218" t="str">
        <f>IF(TRIM(J218)="","NULL",IFERROR(VLOOKUP(TRIM(J218),Lookup_PropertyType!$A:$B,2,FALSE()),"other"))</f>
        <v>apartment</v>
      </c>
      <c r="P218">
        <f t="shared" si="3"/>
        <v>1</v>
      </c>
    </row>
    <row r="219" spans="1:16" ht="15.75" customHeight="1" x14ac:dyDescent="0.35">
      <c r="A219" s="13">
        <v>218</v>
      </c>
      <c r="B219" s="14">
        <v>45689</v>
      </c>
      <c r="C219" s="15"/>
      <c r="D219" s="16" t="s">
        <v>32</v>
      </c>
      <c r="E219" s="17">
        <v>6000</v>
      </c>
      <c r="F219" s="18"/>
      <c r="G219" s="18"/>
      <c r="H219" s="19">
        <v>250000</v>
      </c>
      <c r="I219" s="19">
        <v>60000</v>
      </c>
      <c r="J219" s="20" t="s">
        <v>33</v>
      </c>
      <c r="K219" s="13">
        <v>47</v>
      </c>
      <c r="L219" s="21" t="s">
        <v>38</v>
      </c>
      <c r="M219" s="21" t="s">
        <v>39</v>
      </c>
      <c r="N219" s="16" t="s">
        <v>36</v>
      </c>
      <c r="O219" t="str">
        <f>IF(TRIM(J219)="","NULL",IFERROR(VLOOKUP(TRIM(J219),Lookup_PropertyType!$A:$B,2,FALSE()),"other"))</f>
        <v>apartment</v>
      </c>
      <c r="P219">
        <f t="shared" si="3"/>
        <v>0</v>
      </c>
    </row>
    <row r="220" spans="1:16" ht="15.75" customHeight="1" x14ac:dyDescent="0.35">
      <c r="A220" s="13">
        <v>219</v>
      </c>
      <c r="B220" s="14">
        <v>45711</v>
      </c>
      <c r="C220" s="14">
        <v>45738</v>
      </c>
      <c r="D220" s="16" t="s">
        <v>44</v>
      </c>
      <c r="E220" s="17">
        <v>23000</v>
      </c>
      <c r="F220" s="18"/>
      <c r="G220" s="18"/>
      <c r="H220" s="19">
        <v>1000000</v>
      </c>
      <c r="I220" s="19">
        <v>400000</v>
      </c>
      <c r="J220" s="20" t="s">
        <v>37</v>
      </c>
      <c r="K220" s="13">
        <v>52</v>
      </c>
      <c r="L220" s="21" t="s">
        <v>34</v>
      </c>
      <c r="M220" s="21" t="s">
        <v>39</v>
      </c>
      <c r="N220" s="16" t="s">
        <v>42</v>
      </c>
      <c r="O220" t="str">
        <f>IF(TRIM(J220)="","NULL",IFERROR(VLOOKUP(TRIM(J220),Lookup_PropertyType!$A:$B,2,FALSE()),"other"))</f>
        <v>house</v>
      </c>
      <c r="P220">
        <f t="shared" si="3"/>
        <v>1</v>
      </c>
    </row>
    <row r="221" spans="1:16" ht="15.75" customHeight="1" x14ac:dyDescent="0.35">
      <c r="A221" s="13">
        <v>220</v>
      </c>
      <c r="B221" s="14">
        <v>45810</v>
      </c>
      <c r="C221" s="15"/>
      <c r="D221" s="16" t="s">
        <v>32</v>
      </c>
      <c r="E221" s="17">
        <v>3900</v>
      </c>
      <c r="F221" s="18"/>
      <c r="G221" s="18"/>
      <c r="H221" s="19">
        <v>395000</v>
      </c>
      <c r="I221" s="19">
        <v>60000</v>
      </c>
      <c r="J221" s="20" t="s">
        <v>37</v>
      </c>
      <c r="K221" s="13">
        <v>60</v>
      </c>
      <c r="L221" s="21" t="s">
        <v>45</v>
      </c>
      <c r="M221" s="21" t="s">
        <v>39</v>
      </c>
      <c r="N221" s="16" t="s">
        <v>43</v>
      </c>
      <c r="O221" t="str">
        <f>IF(TRIM(J221)="","NULL",IFERROR(VLOOKUP(TRIM(J221),Lookup_PropertyType!$A:$B,2,FALSE()),"other"))</f>
        <v>house</v>
      </c>
      <c r="P221">
        <f t="shared" si="3"/>
        <v>0</v>
      </c>
    </row>
    <row r="222" spans="1:16" ht="15.75" customHeight="1" x14ac:dyDescent="0.35">
      <c r="A222" s="13">
        <v>221</v>
      </c>
      <c r="B222" s="14">
        <v>45694</v>
      </c>
      <c r="C222" s="15"/>
      <c r="D222" s="16" t="s">
        <v>32</v>
      </c>
      <c r="E222" s="17">
        <v>24000</v>
      </c>
      <c r="F222" s="18"/>
      <c r="G222" s="18"/>
      <c r="H222" s="19">
        <v>1500000</v>
      </c>
      <c r="I222" s="19">
        <v>422000</v>
      </c>
      <c r="J222" s="20" t="s">
        <v>37</v>
      </c>
      <c r="K222" s="13">
        <v>54</v>
      </c>
      <c r="L222" s="21" t="s">
        <v>38</v>
      </c>
      <c r="M222" s="21" t="s">
        <v>54</v>
      </c>
      <c r="N222" s="16" t="s">
        <v>42</v>
      </c>
      <c r="O222" t="str">
        <f>IF(TRIM(J222)="","NULL",IFERROR(VLOOKUP(TRIM(J222),Lookup_PropertyType!$A:$B,2,FALSE()),"other"))</f>
        <v>house</v>
      </c>
      <c r="P222">
        <f t="shared" si="3"/>
        <v>0</v>
      </c>
    </row>
    <row r="223" spans="1:16" ht="15.75" customHeight="1" x14ac:dyDescent="0.35">
      <c r="A223" s="13">
        <v>222</v>
      </c>
      <c r="B223" s="14">
        <v>45687</v>
      </c>
      <c r="C223" s="15"/>
      <c r="D223" s="16" t="s">
        <v>58</v>
      </c>
      <c r="E223" s="17">
        <v>9000</v>
      </c>
      <c r="F223" s="18"/>
      <c r="G223" s="18"/>
      <c r="H223" s="19">
        <v>300000</v>
      </c>
      <c r="I223" s="19">
        <v>30000</v>
      </c>
      <c r="J223" s="20" t="s">
        <v>75</v>
      </c>
      <c r="K223" s="13">
        <v>52</v>
      </c>
      <c r="L223" s="21" t="s">
        <v>34</v>
      </c>
      <c r="M223" s="21" t="s">
        <v>39</v>
      </c>
      <c r="N223" s="16" t="s">
        <v>42</v>
      </c>
      <c r="O223" t="str">
        <f>IF(TRIM(J223)="","NULL",IFERROR(VLOOKUP(TRIM(J223),Lookup_PropertyType!$A:$B,2,FALSE()),"other"))</f>
        <v>apartment</v>
      </c>
      <c r="P223">
        <f t="shared" si="3"/>
        <v>0</v>
      </c>
    </row>
    <row r="224" spans="1:16" ht="15.75" customHeight="1" x14ac:dyDescent="0.35">
      <c r="A224" s="13">
        <v>223</v>
      </c>
      <c r="B224" s="14">
        <v>45738</v>
      </c>
      <c r="C224" s="14">
        <v>45764</v>
      </c>
      <c r="D224" s="16" t="s">
        <v>44</v>
      </c>
      <c r="E224" s="17">
        <v>6500</v>
      </c>
      <c r="F224" s="18"/>
      <c r="G224" s="18"/>
      <c r="H224" s="19">
        <v>150000</v>
      </c>
      <c r="I224" s="19">
        <v>84000</v>
      </c>
      <c r="J224" s="20" t="s">
        <v>33</v>
      </c>
      <c r="K224" s="13">
        <v>37</v>
      </c>
      <c r="L224" s="21" t="s">
        <v>59</v>
      </c>
      <c r="M224" s="21" t="s">
        <v>39</v>
      </c>
      <c r="N224" s="16" t="s">
        <v>42</v>
      </c>
      <c r="O224" t="str">
        <f>IF(TRIM(J224)="","NULL",IFERROR(VLOOKUP(TRIM(J224),Lookup_PropertyType!$A:$B,2,FALSE()),"other"))</f>
        <v>apartment</v>
      </c>
      <c r="P224">
        <f t="shared" si="3"/>
        <v>1</v>
      </c>
    </row>
    <row r="225" spans="1:16" ht="15.75" customHeight="1" x14ac:dyDescent="0.35">
      <c r="A225" s="13">
        <v>224</v>
      </c>
      <c r="B225" s="14">
        <v>45686</v>
      </c>
      <c r="C225" s="15"/>
      <c r="D225" s="16" t="s">
        <v>32</v>
      </c>
      <c r="E225" s="17">
        <v>10600</v>
      </c>
      <c r="F225" s="18"/>
      <c r="G225" s="18"/>
      <c r="H225" s="19">
        <v>390000</v>
      </c>
      <c r="I225" s="19">
        <v>50000</v>
      </c>
      <c r="J225" s="20" t="s">
        <v>33</v>
      </c>
      <c r="K225" s="13">
        <v>49</v>
      </c>
      <c r="L225" s="21" t="s">
        <v>38</v>
      </c>
      <c r="M225" s="21" t="s">
        <v>39</v>
      </c>
      <c r="N225" s="16" t="s">
        <v>42</v>
      </c>
      <c r="O225" t="str">
        <f>IF(TRIM(J225)="","NULL",IFERROR(VLOOKUP(TRIM(J225),Lookup_PropertyType!$A:$B,2,FALSE()),"other"))</f>
        <v>apartment</v>
      </c>
      <c r="P225">
        <f t="shared" si="3"/>
        <v>0</v>
      </c>
    </row>
    <row r="226" spans="1:16" ht="15.75" customHeight="1" x14ac:dyDescent="0.35">
      <c r="A226" s="13">
        <v>225</v>
      </c>
      <c r="B226" s="14">
        <v>45845</v>
      </c>
      <c r="C226" s="15"/>
      <c r="D226" s="16" t="s">
        <v>32</v>
      </c>
      <c r="E226" s="17">
        <v>9000</v>
      </c>
      <c r="F226" s="18"/>
      <c r="G226" s="18"/>
      <c r="H226" s="19">
        <v>800000</v>
      </c>
      <c r="I226" s="19">
        <v>90000</v>
      </c>
      <c r="J226" s="20" t="s">
        <v>37</v>
      </c>
      <c r="K226" s="13">
        <v>53</v>
      </c>
      <c r="L226" s="21" t="s">
        <v>64</v>
      </c>
      <c r="M226" s="21" t="s">
        <v>35</v>
      </c>
      <c r="N226" s="16" t="s">
        <v>42</v>
      </c>
      <c r="O226" t="str">
        <f>IF(TRIM(J226)="","NULL",IFERROR(VLOOKUP(TRIM(J226),Lookup_PropertyType!$A:$B,2,FALSE()),"other"))</f>
        <v>house</v>
      </c>
      <c r="P226">
        <f t="shared" si="3"/>
        <v>0</v>
      </c>
    </row>
    <row r="227" spans="1:16" ht="15.75" customHeight="1" x14ac:dyDescent="0.35">
      <c r="A227" s="13">
        <v>226</v>
      </c>
      <c r="B227" s="14">
        <v>45737</v>
      </c>
      <c r="C227" s="15"/>
      <c r="D227" s="16" t="s">
        <v>58</v>
      </c>
      <c r="E227" s="17">
        <v>8100</v>
      </c>
      <c r="F227" s="18"/>
      <c r="G227" s="18"/>
      <c r="H227" s="19">
        <v>300000</v>
      </c>
      <c r="I227" s="19">
        <v>100000</v>
      </c>
      <c r="J227" s="20" t="s">
        <v>37</v>
      </c>
      <c r="K227" s="13">
        <v>39</v>
      </c>
      <c r="L227" s="21" t="s">
        <v>41</v>
      </c>
      <c r="M227" s="21" t="s">
        <v>72</v>
      </c>
      <c r="N227" s="16" t="s">
        <v>42</v>
      </c>
      <c r="O227" t="str">
        <f>IF(TRIM(J227)="","NULL",IFERROR(VLOOKUP(TRIM(J227),Lookup_PropertyType!$A:$B,2,FALSE()),"other"))</f>
        <v>house</v>
      </c>
      <c r="P227">
        <f t="shared" si="3"/>
        <v>0</v>
      </c>
    </row>
    <row r="228" spans="1:16" ht="15.75" customHeight="1" x14ac:dyDescent="0.35">
      <c r="A228" s="13">
        <v>227</v>
      </c>
      <c r="B228" s="14">
        <v>45795</v>
      </c>
      <c r="C228" s="15"/>
      <c r="D228" s="16" t="s">
        <v>66</v>
      </c>
      <c r="E228" s="17">
        <v>10000</v>
      </c>
      <c r="F228" s="18"/>
      <c r="G228" s="18"/>
      <c r="H228" s="19">
        <v>390000</v>
      </c>
      <c r="I228" s="19">
        <v>90000</v>
      </c>
      <c r="J228" s="20" t="s">
        <v>37</v>
      </c>
      <c r="K228" s="13">
        <v>29</v>
      </c>
      <c r="L228" s="21" t="s">
        <v>45</v>
      </c>
      <c r="M228" s="21" t="s">
        <v>39</v>
      </c>
      <c r="N228" s="16" t="s">
        <v>36</v>
      </c>
      <c r="O228" t="str">
        <f>IF(TRIM(J228)="","NULL",IFERROR(VLOOKUP(TRIM(J228),Lookup_PropertyType!$A:$B,2,FALSE()),"other"))</f>
        <v>house</v>
      </c>
      <c r="P228">
        <f t="shared" si="3"/>
        <v>0</v>
      </c>
    </row>
    <row r="229" spans="1:16" ht="15.75" customHeight="1" x14ac:dyDescent="0.35">
      <c r="A229" s="13">
        <v>228</v>
      </c>
      <c r="B229" s="14">
        <v>45708</v>
      </c>
      <c r="C229" s="15"/>
      <c r="D229" s="16" t="s">
        <v>58</v>
      </c>
      <c r="E229" s="17">
        <v>25000</v>
      </c>
      <c r="F229" s="18"/>
      <c r="G229" s="18"/>
      <c r="H229" s="19">
        <v>300000</v>
      </c>
      <c r="I229" s="19">
        <v>150000</v>
      </c>
      <c r="J229" s="20" t="s">
        <v>33</v>
      </c>
      <c r="K229" s="13">
        <v>46</v>
      </c>
      <c r="L229" s="21" t="s">
        <v>64</v>
      </c>
      <c r="M229" s="21" t="s">
        <v>39</v>
      </c>
      <c r="N229" s="16" t="s">
        <v>42</v>
      </c>
      <c r="O229" t="str">
        <f>IF(TRIM(J229)="","NULL",IFERROR(VLOOKUP(TRIM(J229),Lookup_PropertyType!$A:$B,2,FALSE()),"other"))</f>
        <v>apartment</v>
      </c>
      <c r="P229">
        <f t="shared" si="3"/>
        <v>0</v>
      </c>
    </row>
    <row r="230" spans="1:16" ht="15.75" customHeight="1" x14ac:dyDescent="0.35">
      <c r="A230" s="13">
        <v>229</v>
      </c>
      <c r="B230" s="14">
        <v>45709</v>
      </c>
      <c r="C230" s="15"/>
      <c r="D230" s="16" t="s">
        <v>32</v>
      </c>
      <c r="E230" s="17">
        <v>13000</v>
      </c>
      <c r="F230" s="18"/>
      <c r="G230" s="18"/>
      <c r="H230" s="19">
        <v>350000</v>
      </c>
      <c r="I230" s="19">
        <v>150000</v>
      </c>
      <c r="J230" s="20" t="s">
        <v>37</v>
      </c>
      <c r="K230" s="13">
        <v>54</v>
      </c>
      <c r="L230" s="21" t="s">
        <v>38</v>
      </c>
      <c r="M230" s="21" t="s">
        <v>67</v>
      </c>
      <c r="N230" s="16" t="s">
        <v>50</v>
      </c>
      <c r="O230" t="str">
        <f>IF(TRIM(J230)="","NULL",IFERROR(VLOOKUP(TRIM(J230),Lookup_PropertyType!$A:$B,2,FALSE()),"other"))</f>
        <v>house</v>
      </c>
      <c r="P230">
        <f t="shared" si="3"/>
        <v>0</v>
      </c>
    </row>
    <row r="231" spans="1:16" ht="15.75" customHeight="1" x14ac:dyDescent="0.35">
      <c r="A231" s="13">
        <v>230</v>
      </c>
      <c r="B231" s="14">
        <v>45750</v>
      </c>
      <c r="C231" s="15"/>
      <c r="D231" s="16" t="s">
        <v>55</v>
      </c>
      <c r="E231" s="17">
        <v>4400</v>
      </c>
      <c r="F231" s="18"/>
      <c r="G231" s="18"/>
      <c r="H231" s="19">
        <v>700000</v>
      </c>
      <c r="I231" s="19">
        <v>35000</v>
      </c>
      <c r="J231" s="20" t="s">
        <v>37</v>
      </c>
      <c r="K231" s="13">
        <v>50</v>
      </c>
      <c r="L231" s="21" t="s">
        <v>38</v>
      </c>
      <c r="M231" s="21" t="s">
        <v>67</v>
      </c>
      <c r="N231" s="16" t="s">
        <v>48</v>
      </c>
      <c r="O231" t="str">
        <f>IF(TRIM(J231)="","NULL",IFERROR(VLOOKUP(TRIM(J231),Lookup_PropertyType!$A:$B,2,FALSE()),"other"))</f>
        <v>house</v>
      </c>
      <c r="P231">
        <f t="shared" si="3"/>
        <v>0</v>
      </c>
    </row>
    <row r="232" spans="1:16" ht="15.75" customHeight="1" x14ac:dyDescent="0.35">
      <c r="A232" s="13">
        <v>231</v>
      </c>
      <c r="B232" s="14">
        <v>45746</v>
      </c>
      <c r="C232" s="14">
        <v>45773</v>
      </c>
      <c r="D232" s="16" t="s">
        <v>32</v>
      </c>
      <c r="E232" s="17">
        <v>6000</v>
      </c>
      <c r="F232" s="18"/>
      <c r="G232" s="18"/>
      <c r="H232" s="19">
        <v>350000</v>
      </c>
      <c r="I232" s="19">
        <v>70000</v>
      </c>
      <c r="J232" s="20" t="s">
        <v>37</v>
      </c>
      <c r="K232" s="13">
        <v>48</v>
      </c>
      <c r="L232" s="21" t="s">
        <v>38</v>
      </c>
      <c r="M232" s="21" t="s">
        <v>39</v>
      </c>
      <c r="N232" s="16" t="s">
        <v>42</v>
      </c>
      <c r="O232" t="str">
        <f>IF(TRIM(J232)="","NULL",IFERROR(VLOOKUP(TRIM(J232),Lookup_PropertyType!$A:$B,2,FALSE()),"other"))</f>
        <v>house</v>
      </c>
      <c r="P232">
        <f t="shared" si="3"/>
        <v>1</v>
      </c>
    </row>
    <row r="233" spans="1:16" ht="15.75" customHeight="1" x14ac:dyDescent="0.35">
      <c r="A233" s="13">
        <v>232</v>
      </c>
      <c r="B233" s="14">
        <v>45698</v>
      </c>
      <c r="C233" s="15"/>
      <c r="D233" s="16" t="s">
        <v>44</v>
      </c>
      <c r="E233" s="17">
        <v>10000</v>
      </c>
      <c r="F233" s="18"/>
      <c r="G233" s="18"/>
      <c r="H233" s="19">
        <v>300000</v>
      </c>
      <c r="I233" s="19">
        <v>50000</v>
      </c>
      <c r="J233" s="20" t="s">
        <v>33</v>
      </c>
      <c r="K233" s="13">
        <v>45</v>
      </c>
      <c r="L233" s="21" t="s">
        <v>45</v>
      </c>
      <c r="M233" s="21" t="s">
        <v>67</v>
      </c>
      <c r="N233" s="16" t="s">
        <v>36</v>
      </c>
      <c r="O233" t="str">
        <f>IF(TRIM(J233)="","NULL",IFERROR(VLOOKUP(TRIM(J233),Lookup_PropertyType!$A:$B,2,FALSE()),"other"))</f>
        <v>apartment</v>
      </c>
      <c r="P233">
        <f t="shared" si="3"/>
        <v>0</v>
      </c>
    </row>
    <row r="234" spans="1:16" ht="15.75" customHeight="1" x14ac:dyDescent="0.35">
      <c r="A234" s="13">
        <v>233</v>
      </c>
      <c r="B234" s="14">
        <v>45702</v>
      </c>
      <c r="C234" s="15"/>
      <c r="D234" s="16" t="s">
        <v>76</v>
      </c>
      <c r="E234" s="17">
        <v>26000</v>
      </c>
      <c r="F234" s="18"/>
      <c r="G234" s="18"/>
      <c r="H234" s="19">
        <v>300000</v>
      </c>
      <c r="I234" s="19">
        <v>150000</v>
      </c>
      <c r="J234" s="20" t="s">
        <v>37</v>
      </c>
      <c r="K234" s="13">
        <v>43</v>
      </c>
      <c r="L234" s="21" t="s">
        <v>38</v>
      </c>
      <c r="M234" s="21" t="s">
        <v>39</v>
      </c>
      <c r="N234" s="16" t="s">
        <v>42</v>
      </c>
      <c r="O234" t="str">
        <f>IF(TRIM(J234)="","NULL",IFERROR(VLOOKUP(TRIM(J234),Lookup_PropertyType!$A:$B,2,FALSE()),"other"))</f>
        <v>house</v>
      </c>
      <c r="P234">
        <f t="shared" si="3"/>
        <v>0</v>
      </c>
    </row>
    <row r="235" spans="1:16" ht="15.75" customHeight="1" x14ac:dyDescent="0.35">
      <c r="A235" s="13">
        <v>234</v>
      </c>
      <c r="B235" s="14">
        <v>45733</v>
      </c>
      <c r="C235" s="14">
        <v>45817</v>
      </c>
      <c r="D235" s="16" t="s">
        <v>69</v>
      </c>
      <c r="E235" s="17">
        <v>9000</v>
      </c>
      <c r="F235" s="18"/>
      <c r="G235" s="18"/>
      <c r="H235" s="19">
        <v>430000</v>
      </c>
      <c r="I235" s="19">
        <v>150000</v>
      </c>
      <c r="J235" s="20" t="s">
        <v>33</v>
      </c>
      <c r="K235" s="13">
        <v>52</v>
      </c>
      <c r="L235" s="21" t="s">
        <v>41</v>
      </c>
      <c r="M235" s="21" t="s">
        <v>39</v>
      </c>
      <c r="N235" s="16" t="s">
        <v>40</v>
      </c>
      <c r="O235" t="str">
        <f>IF(TRIM(J235)="","NULL",IFERROR(VLOOKUP(TRIM(J235),Lookup_PropertyType!$A:$B,2,FALSE()),"other"))</f>
        <v>apartment</v>
      </c>
      <c r="P235">
        <f t="shared" si="3"/>
        <v>1</v>
      </c>
    </row>
    <row r="236" spans="1:16" ht="15.75" customHeight="1" x14ac:dyDescent="0.35">
      <c r="A236" s="13">
        <v>235</v>
      </c>
      <c r="B236" s="14">
        <v>45772</v>
      </c>
      <c r="C236" s="15"/>
      <c r="D236" s="16" t="s">
        <v>58</v>
      </c>
      <c r="E236" s="17">
        <v>7000</v>
      </c>
      <c r="F236" s="18"/>
      <c r="G236" s="18"/>
      <c r="H236" s="19">
        <v>200000</v>
      </c>
      <c r="I236" s="19">
        <v>80000</v>
      </c>
      <c r="J236" s="20" t="s">
        <v>37</v>
      </c>
      <c r="K236" s="13">
        <v>48</v>
      </c>
      <c r="L236" s="21" t="s">
        <v>38</v>
      </c>
      <c r="M236" s="21" t="s">
        <v>39</v>
      </c>
      <c r="N236" s="16" t="s">
        <v>42</v>
      </c>
      <c r="O236" t="str">
        <f>IF(TRIM(J236)="","NULL",IFERROR(VLOOKUP(TRIM(J236),Lookup_PropertyType!$A:$B,2,FALSE()),"other"))</f>
        <v>house</v>
      </c>
      <c r="P236">
        <f t="shared" si="3"/>
        <v>0</v>
      </c>
    </row>
    <row r="237" spans="1:16" ht="15.75" customHeight="1" x14ac:dyDescent="0.35">
      <c r="A237" s="13">
        <v>236</v>
      </c>
      <c r="B237" s="14">
        <v>45687</v>
      </c>
      <c r="C237" s="14">
        <v>45725</v>
      </c>
      <c r="D237" s="16" t="s">
        <v>32</v>
      </c>
      <c r="E237" s="17">
        <v>9000</v>
      </c>
      <c r="F237" s="18"/>
      <c r="G237" s="18"/>
      <c r="H237" s="19">
        <v>300000</v>
      </c>
      <c r="I237" s="19">
        <v>100000</v>
      </c>
      <c r="J237" s="20" t="s">
        <v>33</v>
      </c>
      <c r="K237" s="13">
        <v>43</v>
      </c>
      <c r="L237" s="21" t="s">
        <v>38</v>
      </c>
      <c r="M237" s="21" t="s">
        <v>39</v>
      </c>
      <c r="N237" s="16" t="s">
        <v>36</v>
      </c>
      <c r="O237" t="str">
        <f>IF(TRIM(J237)="","NULL",IFERROR(VLOOKUP(TRIM(J237),Lookup_PropertyType!$A:$B,2,FALSE()),"other"))</f>
        <v>apartment</v>
      </c>
      <c r="P237">
        <f t="shared" si="3"/>
        <v>1</v>
      </c>
    </row>
    <row r="238" spans="1:16" ht="15.75" customHeight="1" x14ac:dyDescent="0.35">
      <c r="A238" s="13">
        <v>237</v>
      </c>
      <c r="B238" s="14">
        <v>45691</v>
      </c>
      <c r="C238" s="15"/>
      <c r="D238" s="16" t="s">
        <v>32</v>
      </c>
      <c r="E238" s="17">
        <v>60000</v>
      </c>
      <c r="F238" s="18"/>
      <c r="G238" s="18"/>
      <c r="H238" s="19">
        <v>4000000</v>
      </c>
      <c r="I238" s="19">
        <v>500000</v>
      </c>
      <c r="J238" s="20" t="s">
        <v>33</v>
      </c>
      <c r="K238" s="13">
        <v>64</v>
      </c>
      <c r="L238" s="21" t="s">
        <v>41</v>
      </c>
      <c r="M238" s="21" t="s">
        <v>35</v>
      </c>
      <c r="N238" s="16" t="s">
        <v>36</v>
      </c>
      <c r="O238" t="str">
        <f>IF(TRIM(J238)="","NULL",IFERROR(VLOOKUP(TRIM(J238),Lookup_PropertyType!$A:$B,2,FALSE()),"other"))</f>
        <v>apartment</v>
      </c>
      <c r="P238">
        <f t="shared" si="3"/>
        <v>0</v>
      </c>
    </row>
    <row r="239" spans="1:16" ht="15.75" customHeight="1" x14ac:dyDescent="0.35">
      <c r="A239" s="13">
        <v>238</v>
      </c>
      <c r="B239" s="14">
        <v>45691</v>
      </c>
      <c r="C239" s="15"/>
      <c r="D239" s="16" t="s">
        <v>32</v>
      </c>
      <c r="E239" s="17">
        <v>7500</v>
      </c>
      <c r="F239" s="18"/>
      <c r="G239" s="18"/>
      <c r="H239" s="19">
        <v>320000</v>
      </c>
      <c r="I239" s="19">
        <v>30000</v>
      </c>
      <c r="J239" s="20" t="s">
        <v>33</v>
      </c>
      <c r="K239" s="13">
        <v>57</v>
      </c>
      <c r="L239" s="21" t="s">
        <v>34</v>
      </c>
      <c r="M239" s="21" t="s">
        <v>67</v>
      </c>
      <c r="N239" s="16" t="s">
        <v>42</v>
      </c>
      <c r="O239" t="str">
        <f>IF(TRIM(J239)="","NULL",IFERROR(VLOOKUP(TRIM(J239),Lookup_PropertyType!$A:$B,2,FALSE()),"other"))</f>
        <v>apartment</v>
      </c>
      <c r="P239">
        <f t="shared" si="3"/>
        <v>0</v>
      </c>
    </row>
    <row r="240" spans="1:16" ht="15.75" customHeight="1" x14ac:dyDescent="0.35">
      <c r="A240" s="13">
        <v>239</v>
      </c>
      <c r="B240" s="14">
        <v>45724</v>
      </c>
      <c r="C240" s="14">
        <v>45779</v>
      </c>
      <c r="D240" s="16" t="s">
        <v>32</v>
      </c>
      <c r="E240" s="17">
        <v>9000</v>
      </c>
      <c r="F240" s="18"/>
      <c r="G240" s="18"/>
      <c r="H240" s="19">
        <v>400000</v>
      </c>
      <c r="I240" s="19">
        <v>150000</v>
      </c>
      <c r="J240" s="20" t="s">
        <v>37</v>
      </c>
      <c r="K240" s="13">
        <v>50</v>
      </c>
      <c r="L240" s="21" t="s">
        <v>38</v>
      </c>
      <c r="M240" s="21" t="s">
        <v>39</v>
      </c>
      <c r="N240" s="16" t="s">
        <v>51</v>
      </c>
      <c r="O240" t="str">
        <f>IF(TRIM(J240)="","NULL",IFERROR(VLOOKUP(TRIM(J240),Lookup_PropertyType!$A:$B,2,FALSE()),"other"))</f>
        <v>house</v>
      </c>
      <c r="P240">
        <f t="shared" si="3"/>
        <v>1</v>
      </c>
    </row>
    <row r="241" spans="1:16" ht="15.75" customHeight="1" x14ac:dyDescent="0.35">
      <c r="A241" s="13">
        <v>240</v>
      </c>
      <c r="B241" s="14">
        <v>45818</v>
      </c>
      <c r="C241" s="15"/>
      <c r="D241" s="16" t="s">
        <v>58</v>
      </c>
      <c r="E241" s="17">
        <v>5000</v>
      </c>
      <c r="F241" s="18"/>
      <c r="G241" s="18"/>
      <c r="H241" s="19">
        <v>250000</v>
      </c>
      <c r="I241" s="19">
        <v>87947</v>
      </c>
      <c r="J241" s="20" t="s">
        <v>37</v>
      </c>
      <c r="K241" s="13">
        <v>49</v>
      </c>
      <c r="L241" s="21" t="s">
        <v>41</v>
      </c>
      <c r="M241" s="21" t="s">
        <v>39</v>
      </c>
      <c r="N241" s="16" t="s">
        <v>50</v>
      </c>
      <c r="O241" t="str">
        <f>IF(TRIM(J241)="","NULL",IFERROR(VLOOKUP(TRIM(J241),Lookup_PropertyType!$A:$B,2,FALSE()),"other"))</f>
        <v>house</v>
      </c>
      <c r="P241">
        <f t="shared" si="3"/>
        <v>0</v>
      </c>
    </row>
    <row r="242" spans="1:16" ht="15.75" customHeight="1" x14ac:dyDescent="0.35">
      <c r="A242" s="13">
        <v>241</v>
      </c>
      <c r="B242" s="14">
        <v>45701</v>
      </c>
      <c r="C242" s="15"/>
      <c r="D242" s="16" t="s">
        <v>32</v>
      </c>
      <c r="E242" s="17">
        <v>10000</v>
      </c>
      <c r="F242" s="18"/>
      <c r="G242" s="18"/>
      <c r="H242" s="19">
        <v>340000</v>
      </c>
      <c r="I242" s="19">
        <v>60000</v>
      </c>
      <c r="J242" s="20" t="s">
        <v>33</v>
      </c>
      <c r="K242" s="13">
        <v>39</v>
      </c>
      <c r="L242" s="21" t="s">
        <v>59</v>
      </c>
      <c r="M242" s="21" t="s">
        <v>72</v>
      </c>
      <c r="N242" s="16" t="s">
        <v>42</v>
      </c>
      <c r="O242" t="str">
        <f>IF(TRIM(J242)="","NULL",IFERROR(VLOOKUP(TRIM(J242),Lookup_PropertyType!$A:$B,2,FALSE()),"other"))</f>
        <v>apartment</v>
      </c>
      <c r="P242">
        <f t="shared" si="3"/>
        <v>0</v>
      </c>
    </row>
    <row r="243" spans="1:16" ht="15.75" customHeight="1" x14ac:dyDescent="0.35">
      <c r="A243" s="13">
        <v>242</v>
      </c>
      <c r="B243" s="14">
        <v>45691</v>
      </c>
      <c r="C243" s="15"/>
      <c r="D243" s="16" t="s">
        <v>32</v>
      </c>
      <c r="E243" s="17">
        <v>5760</v>
      </c>
      <c r="F243" s="18"/>
      <c r="G243" s="18"/>
      <c r="H243" s="19">
        <v>260000</v>
      </c>
      <c r="I243" s="19">
        <v>70000</v>
      </c>
      <c r="J243" s="20" t="s">
        <v>33</v>
      </c>
      <c r="K243" s="13">
        <v>51</v>
      </c>
      <c r="L243" s="21" t="s">
        <v>38</v>
      </c>
      <c r="M243" s="21" t="s">
        <v>39</v>
      </c>
      <c r="N243" s="16" t="s">
        <v>42</v>
      </c>
      <c r="O243" t="str">
        <f>IF(TRIM(J243)="","NULL",IFERROR(VLOOKUP(TRIM(J243),Lookup_PropertyType!$A:$B,2,FALSE()),"other"))</f>
        <v>apartment</v>
      </c>
      <c r="P243">
        <f t="shared" si="3"/>
        <v>0</v>
      </c>
    </row>
    <row r="244" spans="1:16" ht="15.75" customHeight="1" x14ac:dyDescent="0.35">
      <c r="A244" s="13">
        <v>243</v>
      </c>
      <c r="B244" s="14">
        <v>45816</v>
      </c>
      <c r="C244" s="14">
        <v>45838</v>
      </c>
      <c r="D244" s="16" t="s">
        <v>32</v>
      </c>
      <c r="E244" s="17">
        <v>5000</v>
      </c>
      <c r="F244" s="18"/>
      <c r="G244" s="18"/>
      <c r="H244" s="19">
        <v>450000</v>
      </c>
      <c r="I244" s="19">
        <v>75000</v>
      </c>
      <c r="J244" s="20" t="s">
        <v>37</v>
      </c>
      <c r="K244" s="13">
        <v>37</v>
      </c>
      <c r="L244" s="21" t="s">
        <v>41</v>
      </c>
      <c r="M244" s="21" t="s">
        <v>39</v>
      </c>
      <c r="N244" s="16" t="s">
        <v>36</v>
      </c>
      <c r="O244" t="str">
        <f>IF(TRIM(J244)="","NULL",IFERROR(VLOOKUP(TRIM(J244),Lookup_PropertyType!$A:$B,2,FALSE()),"other"))</f>
        <v>house</v>
      </c>
      <c r="P244">
        <f t="shared" si="3"/>
        <v>1</v>
      </c>
    </row>
    <row r="245" spans="1:16" ht="15.75" customHeight="1" x14ac:dyDescent="0.35">
      <c r="A245" s="13">
        <v>244</v>
      </c>
      <c r="B245" s="14">
        <v>45722</v>
      </c>
      <c r="C245" s="14">
        <v>45740</v>
      </c>
      <c r="D245" s="16" t="s">
        <v>32</v>
      </c>
      <c r="E245" s="17">
        <v>6000</v>
      </c>
      <c r="F245" s="18"/>
      <c r="G245" s="18"/>
      <c r="H245" s="19">
        <v>350000</v>
      </c>
      <c r="I245" s="19">
        <v>100000</v>
      </c>
      <c r="J245" s="20" t="s">
        <v>33</v>
      </c>
      <c r="K245" s="13">
        <v>48</v>
      </c>
      <c r="L245" s="21" t="s">
        <v>38</v>
      </c>
      <c r="M245" s="21" t="s">
        <v>35</v>
      </c>
      <c r="N245" s="16" t="s">
        <v>42</v>
      </c>
      <c r="O245" t="str">
        <f>IF(TRIM(J245)="","NULL",IFERROR(VLOOKUP(TRIM(J245),Lookup_PropertyType!$A:$B,2,FALSE()),"other"))</f>
        <v>apartment</v>
      </c>
      <c r="P245">
        <f t="shared" si="3"/>
        <v>1</v>
      </c>
    </row>
    <row r="246" spans="1:16" ht="15.75" customHeight="1" x14ac:dyDescent="0.35">
      <c r="A246" s="13">
        <v>245</v>
      </c>
      <c r="B246" s="14">
        <v>45736</v>
      </c>
      <c r="C246" s="15"/>
      <c r="D246" s="16" t="s">
        <v>32</v>
      </c>
      <c r="E246" s="17">
        <v>5000</v>
      </c>
      <c r="F246" s="18"/>
      <c r="G246" s="18"/>
      <c r="H246" s="19">
        <v>280000</v>
      </c>
      <c r="I246" s="19">
        <v>40000</v>
      </c>
      <c r="J246" s="20" t="s">
        <v>33</v>
      </c>
      <c r="K246" s="13">
        <v>41</v>
      </c>
      <c r="L246" s="21" t="s">
        <v>38</v>
      </c>
      <c r="M246" s="21" t="s">
        <v>39</v>
      </c>
      <c r="N246" s="16" t="s">
        <v>42</v>
      </c>
      <c r="O246" t="str">
        <f>IF(TRIM(J246)="","NULL",IFERROR(VLOOKUP(TRIM(J246),Lookup_PropertyType!$A:$B,2,FALSE()),"other"))</f>
        <v>apartment</v>
      </c>
      <c r="P246">
        <f t="shared" si="3"/>
        <v>0</v>
      </c>
    </row>
    <row r="247" spans="1:16" ht="15.75" customHeight="1" x14ac:dyDescent="0.35">
      <c r="A247" s="13">
        <v>246</v>
      </c>
      <c r="B247" s="14">
        <v>45723</v>
      </c>
      <c r="C247" s="15"/>
      <c r="D247" s="16" t="s">
        <v>32</v>
      </c>
      <c r="E247" s="17">
        <v>12000</v>
      </c>
      <c r="F247" s="18"/>
      <c r="G247" s="18"/>
      <c r="H247" s="19">
        <v>1050000</v>
      </c>
      <c r="I247" s="19">
        <v>200000</v>
      </c>
      <c r="J247" s="20" t="s">
        <v>37</v>
      </c>
      <c r="K247" s="13">
        <v>66</v>
      </c>
      <c r="L247" s="21" t="s">
        <v>34</v>
      </c>
      <c r="M247" s="21" t="s">
        <v>39</v>
      </c>
      <c r="N247" s="16" t="s">
        <v>51</v>
      </c>
      <c r="O247" t="str">
        <f>IF(TRIM(J247)="","NULL",IFERROR(VLOOKUP(TRIM(J247),Lookup_PropertyType!$A:$B,2,FALSE()),"other"))</f>
        <v>house</v>
      </c>
      <c r="P247">
        <f t="shared" si="3"/>
        <v>0</v>
      </c>
    </row>
    <row r="248" spans="1:16" ht="15.75" customHeight="1" x14ac:dyDescent="0.35">
      <c r="A248" s="13">
        <v>247</v>
      </c>
      <c r="B248" s="14">
        <v>45822</v>
      </c>
      <c r="C248" s="15"/>
      <c r="D248" s="16" t="s">
        <v>32</v>
      </c>
      <c r="E248" s="17">
        <v>7000</v>
      </c>
      <c r="F248" s="18"/>
      <c r="G248" s="18"/>
      <c r="H248" s="19">
        <v>300000</v>
      </c>
      <c r="I248" s="19">
        <v>40000</v>
      </c>
      <c r="J248" s="20" t="s">
        <v>37</v>
      </c>
      <c r="K248" s="13">
        <v>36</v>
      </c>
      <c r="L248" s="21" t="s">
        <v>41</v>
      </c>
      <c r="M248" s="21" t="s">
        <v>39</v>
      </c>
      <c r="N248" s="16" t="s">
        <v>42</v>
      </c>
      <c r="O248" t="str">
        <f>IF(TRIM(J248)="","NULL",IFERROR(VLOOKUP(TRIM(J248),Lookup_PropertyType!$A:$B,2,FALSE()),"other"))</f>
        <v>house</v>
      </c>
      <c r="P248">
        <f t="shared" si="3"/>
        <v>0</v>
      </c>
    </row>
    <row r="249" spans="1:16" ht="15.75" customHeight="1" x14ac:dyDescent="0.35">
      <c r="A249" s="13">
        <v>248</v>
      </c>
      <c r="B249" s="14">
        <v>45795</v>
      </c>
      <c r="C249" s="14">
        <v>45778</v>
      </c>
      <c r="D249" s="16" t="s">
        <v>58</v>
      </c>
      <c r="E249" s="17">
        <v>18000</v>
      </c>
      <c r="F249" s="18"/>
      <c r="G249" s="18"/>
      <c r="H249" s="19">
        <v>800000</v>
      </c>
      <c r="I249" s="19">
        <v>300000</v>
      </c>
      <c r="J249" s="20" t="s">
        <v>33</v>
      </c>
      <c r="K249" s="13">
        <v>54</v>
      </c>
      <c r="L249" s="21" t="s">
        <v>41</v>
      </c>
      <c r="M249" s="21" t="s">
        <v>39</v>
      </c>
      <c r="N249" s="16" t="s">
        <v>42</v>
      </c>
      <c r="O249" t="str">
        <f>IF(TRIM(J249)="","NULL",IFERROR(VLOOKUP(TRIM(J249),Lookup_PropertyType!$A:$B,2,FALSE()),"other"))</f>
        <v>apartment</v>
      </c>
      <c r="P249">
        <f t="shared" si="3"/>
        <v>0</v>
      </c>
    </row>
    <row r="250" spans="1:16" ht="15.75" customHeight="1" x14ac:dyDescent="0.35">
      <c r="A250" s="13">
        <v>249</v>
      </c>
      <c r="B250" s="14">
        <v>45725</v>
      </c>
      <c r="C250" s="15"/>
      <c r="D250" s="16" t="s">
        <v>32</v>
      </c>
      <c r="E250" s="17">
        <v>3600</v>
      </c>
      <c r="F250" s="18"/>
      <c r="G250" s="18"/>
      <c r="H250" s="19">
        <v>200000</v>
      </c>
      <c r="I250" s="19">
        <v>60000</v>
      </c>
      <c r="J250" s="20" t="s">
        <v>37</v>
      </c>
      <c r="K250" s="13">
        <v>36</v>
      </c>
      <c r="L250" s="21" t="s">
        <v>38</v>
      </c>
      <c r="M250" s="21" t="s">
        <v>67</v>
      </c>
      <c r="N250" s="16" t="s">
        <v>42</v>
      </c>
      <c r="O250" t="str">
        <f>IF(TRIM(J250)="","NULL",IFERROR(VLOOKUP(TRIM(J250),Lookup_PropertyType!$A:$B,2,FALSE()),"other"))</f>
        <v>house</v>
      </c>
      <c r="P250">
        <f t="shared" si="3"/>
        <v>0</v>
      </c>
    </row>
    <row r="251" spans="1:16" ht="15.75" customHeight="1" x14ac:dyDescent="0.35">
      <c r="A251" s="13">
        <v>250</v>
      </c>
      <c r="B251" s="14">
        <v>45744</v>
      </c>
      <c r="C251" s="15"/>
      <c r="D251" s="16" t="s">
        <v>32</v>
      </c>
      <c r="E251" s="17">
        <v>7000</v>
      </c>
      <c r="F251" s="18"/>
      <c r="G251" s="18"/>
      <c r="H251" s="19">
        <v>800000</v>
      </c>
      <c r="I251" s="19">
        <v>35000</v>
      </c>
      <c r="J251" s="20" t="s">
        <v>33</v>
      </c>
      <c r="K251" s="13">
        <v>57</v>
      </c>
      <c r="L251" s="21" t="s">
        <v>45</v>
      </c>
      <c r="M251" s="21" t="s">
        <v>39</v>
      </c>
      <c r="N251" s="16" t="s">
        <v>36</v>
      </c>
      <c r="O251" t="str">
        <f>IF(TRIM(J251)="","NULL",IFERROR(VLOOKUP(TRIM(J251),Lookup_PropertyType!$A:$B,2,FALSE()),"other"))</f>
        <v>apartment</v>
      </c>
      <c r="P251">
        <f t="shared" si="3"/>
        <v>0</v>
      </c>
    </row>
    <row r="252" spans="1:16" ht="15.75" customHeight="1" x14ac:dyDescent="0.35">
      <c r="A252" s="13">
        <v>251</v>
      </c>
      <c r="B252" s="14">
        <v>45722</v>
      </c>
      <c r="C252" s="15"/>
      <c r="D252" s="16" t="s">
        <v>32</v>
      </c>
      <c r="E252" s="17">
        <v>5000</v>
      </c>
      <c r="F252" s="18"/>
      <c r="G252" s="18"/>
      <c r="H252" s="19">
        <v>250000</v>
      </c>
      <c r="I252" s="19">
        <v>30000</v>
      </c>
      <c r="J252" s="20" t="s">
        <v>33</v>
      </c>
      <c r="K252" s="13">
        <v>70</v>
      </c>
      <c r="L252" s="21" t="s">
        <v>38</v>
      </c>
      <c r="M252" s="21" t="s">
        <v>39</v>
      </c>
      <c r="N252" s="16" t="s">
        <v>43</v>
      </c>
      <c r="O252" t="str">
        <f>IF(TRIM(J252)="","NULL",IFERROR(VLOOKUP(TRIM(J252),Lookup_PropertyType!$A:$B,2,FALSE()),"other"))</f>
        <v>apartment</v>
      </c>
      <c r="P252">
        <f t="shared" si="3"/>
        <v>0</v>
      </c>
    </row>
    <row r="253" spans="1:16" ht="15.75" customHeight="1" x14ac:dyDescent="0.35">
      <c r="A253" s="13">
        <v>252</v>
      </c>
      <c r="B253" s="14">
        <v>45718</v>
      </c>
      <c r="C253" s="15"/>
      <c r="D253" s="16" t="s">
        <v>32</v>
      </c>
      <c r="E253" s="17">
        <v>12000</v>
      </c>
      <c r="F253" s="18"/>
      <c r="G253" s="18"/>
      <c r="H253" s="19">
        <v>550000</v>
      </c>
      <c r="I253" s="19">
        <v>190000</v>
      </c>
      <c r="J253" s="20" t="s">
        <v>53</v>
      </c>
      <c r="K253" s="13">
        <v>44</v>
      </c>
      <c r="L253" s="21" t="s">
        <v>64</v>
      </c>
      <c r="M253" s="21" t="s">
        <v>48</v>
      </c>
      <c r="N253" s="16" t="s">
        <v>40</v>
      </c>
      <c r="O253" t="str">
        <f>IF(TRIM(J253)="","NULL",IFERROR(VLOOKUP(TRIM(J253),Lookup_PropertyType!$A:$B,2,FALSE()),"other"))</f>
        <v>other</v>
      </c>
      <c r="P253">
        <f t="shared" si="3"/>
        <v>0</v>
      </c>
    </row>
    <row r="254" spans="1:16" ht="15.75" customHeight="1" x14ac:dyDescent="0.35">
      <c r="A254" s="13">
        <v>253</v>
      </c>
      <c r="B254" s="14">
        <v>45705</v>
      </c>
      <c r="C254" s="14">
        <v>45753</v>
      </c>
      <c r="D254" s="16" t="s">
        <v>32</v>
      </c>
      <c r="E254" s="17">
        <v>6500</v>
      </c>
      <c r="F254" s="18"/>
      <c r="G254" s="18"/>
      <c r="H254" s="19">
        <v>300000</v>
      </c>
      <c r="I254" s="19">
        <v>85000</v>
      </c>
      <c r="J254" s="20" t="s">
        <v>33</v>
      </c>
      <c r="K254" s="13">
        <v>46</v>
      </c>
      <c r="L254" s="21" t="s">
        <v>38</v>
      </c>
      <c r="M254" s="21" t="s">
        <v>39</v>
      </c>
      <c r="N254" s="16" t="s">
        <v>50</v>
      </c>
      <c r="O254" t="str">
        <f>IF(TRIM(J254)="","NULL",IFERROR(VLOOKUP(TRIM(J254),Lookup_PropertyType!$A:$B,2,FALSE()),"other"))</f>
        <v>apartment</v>
      </c>
      <c r="P254">
        <f t="shared" si="3"/>
        <v>1</v>
      </c>
    </row>
    <row r="255" spans="1:16" ht="15.75" customHeight="1" x14ac:dyDescent="0.35">
      <c r="A255" s="13">
        <v>254</v>
      </c>
      <c r="B255" s="14">
        <v>45725</v>
      </c>
      <c r="C255" s="14">
        <v>45785</v>
      </c>
      <c r="D255" s="16" t="s">
        <v>32</v>
      </c>
      <c r="E255" s="17">
        <v>30000</v>
      </c>
      <c r="F255" s="18"/>
      <c r="G255" s="18"/>
      <c r="H255" s="19">
        <v>1300000</v>
      </c>
      <c r="I255" s="19">
        <v>30000</v>
      </c>
      <c r="J255" s="20" t="s">
        <v>37</v>
      </c>
      <c r="K255" s="13">
        <v>69</v>
      </c>
      <c r="L255" s="21" t="s">
        <v>34</v>
      </c>
      <c r="M255" s="21" t="s">
        <v>54</v>
      </c>
      <c r="N255" s="16" t="s">
        <v>43</v>
      </c>
      <c r="O255" t="str">
        <f>IF(TRIM(J255)="","NULL",IFERROR(VLOOKUP(TRIM(J255),Lookup_PropertyType!$A:$B,2,FALSE()),"other"))</f>
        <v>house</v>
      </c>
      <c r="P255">
        <f t="shared" si="3"/>
        <v>1</v>
      </c>
    </row>
    <row r="256" spans="1:16" ht="15.75" customHeight="1" x14ac:dyDescent="0.35">
      <c r="A256" s="13">
        <v>255</v>
      </c>
      <c r="B256" s="14">
        <v>45960</v>
      </c>
      <c r="C256" s="14">
        <v>46053</v>
      </c>
      <c r="D256" s="16" t="s">
        <v>58</v>
      </c>
      <c r="E256" s="17">
        <v>15000</v>
      </c>
      <c r="F256" s="18"/>
      <c r="G256" s="18"/>
      <c r="H256" s="19">
        <v>1100000</v>
      </c>
      <c r="I256" s="19">
        <v>100000</v>
      </c>
      <c r="J256" s="20" t="s">
        <v>37</v>
      </c>
      <c r="K256" s="13">
        <v>55</v>
      </c>
      <c r="L256" s="21" t="s">
        <v>41</v>
      </c>
      <c r="M256" s="21" t="s">
        <v>39</v>
      </c>
      <c r="N256" s="16" t="s">
        <v>36</v>
      </c>
      <c r="O256" t="str">
        <f>IF(TRIM(J256)="","NULL",IFERROR(VLOOKUP(TRIM(J256),Lookup_PropertyType!$A:$B,2,FALSE()),"other"))</f>
        <v>house</v>
      </c>
      <c r="P256">
        <f t="shared" si="3"/>
        <v>1</v>
      </c>
    </row>
    <row r="257" spans="1:16" ht="15.75" customHeight="1" x14ac:dyDescent="0.35">
      <c r="A257" s="13">
        <v>256</v>
      </c>
      <c r="B257" s="14">
        <v>45785</v>
      </c>
      <c r="C257" s="15"/>
      <c r="D257" s="16" t="s">
        <v>32</v>
      </c>
      <c r="E257" s="17">
        <v>10000</v>
      </c>
      <c r="F257" s="18"/>
      <c r="G257" s="18"/>
      <c r="H257" s="19">
        <v>500000</v>
      </c>
      <c r="I257" s="19">
        <v>190000</v>
      </c>
      <c r="J257" s="20" t="s">
        <v>37</v>
      </c>
      <c r="K257" s="13">
        <v>41</v>
      </c>
      <c r="L257" s="21" t="s">
        <v>41</v>
      </c>
      <c r="M257" s="21" t="s">
        <v>39</v>
      </c>
      <c r="N257" s="16" t="s">
        <v>36</v>
      </c>
      <c r="O257" t="str">
        <f>IF(TRIM(J257)="","NULL",IFERROR(VLOOKUP(TRIM(J257),Lookup_PropertyType!$A:$B,2,FALSE()),"other"))</f>
        <v>house</v>
      </c>
      <c r="P257">
        <f t="shared" si="3"/>
        <v>0</v>
      </c>
    </row>
    <row r="258" spans="1:16" ht="15.75" customHeight="1" x14ac:dyDescent="0.35">
      <c r="A258" s="13">
        <v>257</v>
      </c>
      <c r="B258" s="14">
        <v>45754</v>
      </c>
      <c r="C258" s="15"/>
      <c r="D258" s="16" t="s">
        <v>32</v>
      </c>
      <c r="E258" s="17">
        <v>5862.74</v>
      </c>
      <c r="F258" s="18"/>
      <c r="G258" s="18"/>
      <c r="H258" s="19">
        <v>200000</v>
      </c>
      <c r="I258" s="19">
        <v>50000</v>
      </c>
      <c r="J258" s="20" t="s">
        <v>37</v>
      </c>
      <c r="K258" s="13">
        <v>42</v>
      </c>
      <c r="L258" s="21" t="s">
        <v>41</v>
      </c>
      <c r="M258" s="21" t="s">
        <v>39</v>
      </c>
      <c r="N258" s="16" t="s">
        <v>42</v>
      </c>
      <c r="O258" t="str">
        <f>IF(TRIM(J258)="","NULL",IFERROR(VLOOKUP(TRIM(J258),Lookup_PropertyType!$A:$B,2,FALSE()),"other"))</f>
        <v>house</v>
      </c>
      <c r="P258">
        <f t="shared" ref="P258:P321" si="4">IF(AND(C258&lt;&gt;"",C258&gt;=B258),1,0)</f>
        <v>0</v>
      </c>
    </row>
    <row r="259" spans="1:16" ht="15.75" customHeight="1" x14ac:dyDescent="0.35">
      <c r="A259" s="13">
        <v>258</v>
      </c>
      <c r="B259" s="14">
        <v>45725</v>
      </c>
      <c r="C259" s="14">
        <v>45782</v>
      </c>
      <c r="D259" s="16" t="s">
        <v>32</v>
      </c>
      <c r="E259" s="17">
        <v>45000</v>
      </c>
      <c r="F259" s="18"/>
      <c r="G259" s="18"/>
      <c r="H259" s="19">
        <v>4000000</v>
      </c>
      <c r="I259" s="19">
        <v>120000</v>
      </c>
      <c r="J259" s="20" t="s">
        <v>33</v>
      </c>
      <c r="K259" s="13">
        <v>68</v>
      </c>
      <c r="L259" s="21" t="s">
        <v>38</v>
      </c>
      <c r="M259" s="21" t="s">
        <v>39</v>
      </c>
      <c r="N259" s="16" t="s">
        <v>43</v>
      </c>
      <c r="O259" t="str">
        <f>IF(TRIM(J259)="","NULL",IFERROR(VLOOKUP(TRIM(J259),Lookup_PropertyType!$A:$B,2,FALSE()),"other"))</f>
        <v>apartment</v>
      </c>
      <c r="P259">
        <f t="shared" si="4"/>
        <v>1</v>
      </c>
    </row>
    <row r="260" spans="1:16" ht="15.75" customHeight="1" x14ac:dyDescent="0.35">
      <c r="A260" s="13">
        <v>259</v>
      </c>
      <c r="B260" s="14">
        <v>45808</v>
      </c>
      <c r="C260" s="15"/>
      <c r="D260" s="16" t="s">
        <v>49</v>
      </c>
      <c r="E260" s="17">
        <v>6000</v>
      </c>
      <c r="F260" s="18"/>
      <c r="G260" s="18"/>
      <c r="H260" s="19">
        <v>200000</v>
      </c>
      <c r="I260" s="19">
        <v>50000</v>
      </c>
      <c r="J260" s="20" t="s">
        <v>37</v>
      </c>
      <c r="K260" s="13">
        <v>52</v>
      </c>
      <c r="L260" s="21" t="s">
        <v>38</v>
      </c>
      <c r="M260" s="21" t="s">
        <v>39</v>
      </c>
      <c r="N260" s="16" t="s">
        <v>42</v>
      </c>
      <c r="O260" t="str">
        <f>IF(TRIM(J260)="","NULL",IFERROR(VLOOKUP(TRIM(J260),Lookup_PropertyType!$A:$B,2,FALSE()),"other"))</f>
        <v>house</v>
      </c>
      <c r="P260">
        <f t="shared" si="4"/>
        <v>0</v>
      </c>
    </row>
    <row r="261" spans="1:16" ht="15.75" customHeight="1" x14ac:dyDescent="0.35">
      <c r="A261" s="13">
        <v>260</v>
      </c>
      <c r="B261" s="14">
        <v>45723</v>
      </c>
      <c r="C261" s="15"/>
      <c r="D261" s="16" t="s">
        <v>32</v>
      </c>
      <c r="E261" s="17">
        <v>3000</v>
      </c>
      <c r="F261" s="18"/>
      <c r="G261" s="18"/>
      <c r="H261" s="19">
        <v>200000</v>
      </c>
      <c r="I261" s="19">
        <v>30000</v>
      </c>
      <c r="J261" s="20" t="s">
        <v>37</v>
      </c>
      <c r="K261" s="13">
        <v>43</v>
      </c>
      <c r="L261" s="21" t="s">
        <v>38</v>
      </c>
      <c r="M261" s="21" t="s">
        <v>54</v>
      </c>
      <c r="N261" s="16" t="s">
        <v>42</v>
      </c>
      <c r="O261" t="str">
        <f>IF(TRIM(J261)="","NULL",IFERROR(VLOOKUP(TRIM(J261),Lookup_PropertyType!$A:$B,2,FALSE()),"other"))</f>
        <v>house</v>
      </c>
      <c r="P261">
        <f t="shared" si="4"/>
        <v>0</v>
      </c>
    </row>
    <row r="262" spans="1:16" ht="15.75" customHeight="1" x14ac:dyDescent="0.35">
      <c r="A262" s="13">
        <v>261</v>
      </c>
      <c r="B262" s="14">
        <v>45724</v>
      </c>
      <c r="C262" s="15"/>
      <c r="D262" s="16" t="s">
        <v>32</v>
      </c>
      <c r="E262" s="17">
        <v>50000</v>
      </c>
      <c r="F262" s="18"/>
      <c r="G262" s="18"/>
      <c r="H262" s="19">
        <v>1000000</v>
      </c>
      <c r="I262" s="19">
        <v>480000</v>
      </c>
      <c r="J262" s="20" t="s">
        <v>53</v>
      </c>
      <c r="K262" s="13">
        <v>57</v>
      </c>
      <c r="L262" s="21" t="s">
        <v>45</v>
      </c>
      <c r="M262" s="21" t="s">
        <v>35</v>
      </c>
      <c r="N262" s="16" t="s">
        <v>36</v>
      </c>
      <c r="O262" t="str">
        <f>IF(TRIM(J262)="","NULL",IFERROR(VLOOKUP(TRIM(J262),Lookup_PropertyType!$A:$B,2,FALSE()),"other"))</f>
        <v>other</v>
      </c>
      <c r="P262">
        <f t="shared" si="4"/>
        <v>0</v>
      </c>
    </row>
    <row r="263" spans="1:16" ht="15.75" customHeight="1" x14ac:dyDescent="0.35">
      <c r="A263" s="13">
        <v>262</v>
      </c>
      <c r="B263" s="14">
        <v>45754</v>
      </c>
      <c r="C263" s="15"/>
      <c r="D263" s="16" t="s">
        <v>32</v>
      </c>
      <c r="E263" s="17">
        <v>22000</v>
      </c>
      <c r="F263" s="18"/>
      <c r="G263" s="18"/>
      <c r="H263" s="19">
        <v>1500000</v>
      </c>
      <c r="I263" s="19">
        <v>250000</v>
      </c>
      <c r="J263" s="20" t="s">
        <v>37</v>
      </c>
      <c r="K263" s="13">
        <v>59</v>
      </c>
      <c r="L263" s="21" t="s">
        <v>38</v>
      </c>
      <c r="M263" s="21" t="s">
        <v>39</v>
      </c>
      <c r="N263" s="16" t="s">
        <v>36</v>
      </c>
      <c r="O263" t="str">
        <f>IF(TRIM(J263)="","NULL",IFERROR(VLOOKUP(TRIM(J263),Lookup_PropertyType!$A:$B,2,FALSE()),"other"))</f>
        <v>house</v>
      </c>
      <c r="P263">
        <f t="shared" si="4"/>
        <v>0</v>
      </c>
    </row>
    <row r="264" spans="1:16" ht="15.75" customHeight="1" x14ac:dyDescent="0.35">
      <c r="A264" s="13">
        <v>263</v>
      </c>
      <c r="B264" s="14">
        <v>45705</v>
      </c>
      <c r="C264" s="15"/>
      <c r="D264" s="16" t="s">
        <v>32</v>
      </c>
      <c r="E264" s="17">
        <v>4134</v>
      </c>
      <c r="F264" s="18"/>
      <c r="G264" s="18"/>
      <c r="H264" s="19">
        <v>200000</v>
      </c>
      <c r="I264" s="19">
        <v>40000</v>
      </c>
      <c r="J264" s="20" t="s">
        <v>33</v>
      </c>
      <c r="K264" s="13">
        <v>53</v>
      </c>
      <c r="L264" s="21" t="s">
        <v>34</v>
      </c>
      <c r="M264" s="21" t="s">
        <v>39</v>
      </c>
      <c r="N264" s="16" t="s">
        <v>42</v>
      </c>
      <c r="O264" t="str">
        <f>IF(TRIM(J264)="","NULL",IFERROR(VLOOKUP(TRIM(J264),Lookup_PropertyType!$A:$B,2,FALSE()),"other"))</f>
        <v>apartment</v>
      </c>
      <c r="P264">
        <f t="shared" si="4"/>
        <v>0</v>
      </c>
    </row>
    <row r="265" spans="1:16" ht="15.75" customHeight="1" x14ac:dyDescent="0.35">
      <c r="A265" s="13">
        <v>264</v>
      </c>
      <c r="B265" s="14">
        <v>45845</v>
      </c>
      <c r="C265" s="14">
        <v>45904</v>
      </c>
      <c r="D265" s="16" t="s">
        <v>32</v>
      </c>
      <c r="E265" s="17">
        <v>10000</v>
      </c>
      <c r="F265" s="18"/>
      <c r="G265" s="18"/>
      <c r="H265" s="19">
        <v>700000</v>
      </c>
      <c r="I265" s="19">
        <v>120000</v>
      </c>
      <c r="J265" s="20" t="s">
        <v>33</v>
      </c>
      <c r="K265" s="13">
        <v>54</v>
      </c>
      <c r="L265" s="21" t="s">
        <v>38</v>
      </c>
      <c r="M265" s="21" t="s">
        <v>35</v>
      </c>
      <c r="N265" s="16" t="s">
        <v>36</v>
      </c>
      <c r="O265" t="str">
        <f>IF(TRIM(J265)="","NULL",IFERROR(VLOOKUP(TRIM(J265),Lookup_PropertyType!$A:$B,2,FALSE()),"other"))</f>
        <v>apartment</v>
      </c>
      <c r="P265">
        <f t="shared" si="4"/>
        <v>1</v>
      </c>
    </row>
    <row r="266" spans="1:16" ht="15.75" customHeight="1" x14ac:dyDescent="0.35">
      <c r="A266" s="13">
        <v>265</v>
      </c>
      <c r="B266" s="14">
        <v>45725</v>
      </c>
      <c r="C266" s="15"/>
      <c r="D266" s="16" t="s">
        <v>57</v>
      </c>
      <c r="E266" s="17">
        <v>8400</v>
      </c>
      <c r="F266" s="18"/>
      <c r="G266" s="18"/>
      <c r="H266" s="19">
        <v>380000</v>
      </c>
      <c r="I266" s="19">
        <v>170000</v>
      </c>
      <c r="J266" s="20" t="s">
        <v>33</v>
      </c>
      <c r="K266" s="13">
        <v>58</v>
      </c>
      <c r="L266" s="21" t="s">
        <v>38</v>
      </c>
      <c r="M266" s="21" t="s">
        <v>39</v>
      </c>
      <c r="N266" s="16" t="s">
        <v>50</v>
      </c>
      <c r="O266" t="str">
        <f>IF(TRIM(J266)="","NULL",IFERROR(VLOOKUP(TRIM(J266),Lookup_PropertyType!$A:$B,2,FALSE()),"other"))</f>
        <v>apartment</v>
      </c>
      <c r="P266">
        <f t="shared" si="4"/>
        <v>0</v>
      </c>
    </row>
    <row r="267" spans="1:16" ht="15.75" customHeight="1" x14ac:dyDescent="0.35">
      <c r="A267" s="13">
        <v>266</v>
      </c>
      <c r="B267" s="14">
        <v>45711</v>
      </c>
      <c r="C267" s="14">
        <v>45810</v>
      </c>
      <c r="D267" s="16" t="s">
        <v>32</v>
      </c>
      <c r="E267" s="17">
        <v>15000</v>
      </c>
      <c r="F267" s="18"/>
      <c r="G267" s="18"/>
      <c r="H267" s="19">
        <v>320000</v>
      </c>
      <c r="I267" s="19">
        <v>80000</v>
      </c>
      <c r="J267" s="20" t="s">
        <v>33</v>
      </c>
      <c r="K267" s="13">
        <v>46</v>
      </c>
      <c r="L267" s="21"/>
      <c r="M267" s="21" t="s">
        <v>39</v>
      </c>
      <c r="N267" s="16" t="s">
        <v>36</v>
      </c>
      <c r="O267" t="str">
        <f>IF(TRIM(J267)="","NULL",IFERROR(VLOOKUP(TRIM(J267),Lookup_PropertyType!$A:$B,2,FALSE()),"other"))</f>
        <v>apartment</v>
      </c>
      <c r="P267">
        <f t="shared" si="4"/>
        <v>1</v>
      </c>
    </row>
    <row r="268" spans="1:16" ht="15.75" customHeight="1" x14ac:dyDescent="0.35">
      <c r="A268" s="13">
        <v>267</v>
      </c>
      <c r="B268" s="14">
        <v>45726</v>
      </c>
      <c r="C268" s="14">
        <v>45792</v>
      </c>
      <c r="D268" s="16" t="s">
        <v>32</v>
      </c>
      <c r="E268" s="17">
        <v>10000</v>
      </c>
      <c r="F268" s="18"/>
      <c r="G268" s="18"/>
      <c r="H268" s="19">
        <v>300000</v>
      </c>
      <c r="I268" s="19">
        <v>50000</v>
      </c>
      <c r="J268" s="20" t="s">
        <v>33</v>
      </c>
      <c r="K268" s="13">
        <v>61</v>
      </c>
      <c r="L268" s="21" t="s">
        <v>38</v>
      </c>
      <c r="M268" s="21" t="s">
        <v>39</v>
      </c>
      <c r="N268" s="16" t="s">
        <v>51</v>
      </c>
      <c r="O268" t="str">
        <f>IF(TRIM(J268)="","NULL",IFERROR(VLOOKUP(TRIM(J268),Lookup_PropertyType!$A:$B,2,FALSE()),"other"))</f>
        <v>apartment</v>
      </c>
      <c r="P268">
        <f t="shared" si="4"/>
        <v>1</v>
      </c>
    </row>
    <row r="269" spans="1:16" ht="15.75" customHeight="1" x14ac:dyDescent="0.35">
      <c r="A269" s="13">
        <v>268</v>
      </c>
      <c r="B269" s="14">
        <v>45773</v>
      </c>
      <c r="C269" s="14">
        <v>45837</v>
      </c>
      <c r="D269" s="16" t="s">
        <v>32</v>
      </c>
      <c r="E269" s="17">
        <v>10000</v>
      </c>
      <c r="F269" s="18"/>
      <c r="G269" s="18"/>
      <c r="H269" s="19">
        <v>600000</v>
      </c>
      <c r="I269" s="19">
        <v>60000</v>
      </c>
      <c r="J269" s="20" t="s">
        <v>33</v>
      </c>
      <c r="K269" s="13">
        <v>41</v>
      </c>
      <c r="L269" s="21" t="s">
        <v>34</v>
      </c>
      <c r="M269" s="21" t="s">
        <v>54</v>
      </c>
      <c r="N269" s="16" t="s">
        <v>36</v>
      </c>
      <c r="O269" t="str">
        <f>IF(TRIM(J269)="","NULL",IFERROR(VLOOKUP(TRIM(J269),Lookup_PropertyType!$A:$B,2,FALSE()),"other"))</f>
        <v>apartment</v>
      </c>
      <c r="P269">
        <f t="shared" si="4"/>
        <v>1</v>
      </c>
    </row>
    <row r="270" spans="1:16" ht="15.75" customHeight="1" x14ac:dyDescent="0.35">
      <c r="A270" s="13">
        <v>269</v>
      </c>
      <c r="B270" s="14">
        <v>45949</v>
      </c>
      <c r="C270" s="14">
        <v>45982</v>
      </c>
      <c r="D270" s="16" t="s">
        <v>32</v>
      </c>
      <c r="E270" s="17">
        <v>12910</v>
      </c>
      <c r="F270" s="18"/>
      <c r="G270" s="18"/>
      <c r="H270" s="19">
        <v>350000</v>
      </c>
      <c r="I270" s="19">
        <v>80000</v>
      </c>
      <c r="J270" s="20" t="s">
        <v>33</v>
      </c>
      <c r="K270" s="13">
        <v>38</v>
      </c>
      <c r="L270" s="21" t="s">
        <v>38</v>
      </c>
      <c r="M270" s="21" t="s">
        <v>39</v>
      </c>
      <c r="N270" s="16" t="s">
        <v>42</v>
      </c>
      <c r="O270" t="str">
        <f>IF(TRIM(J270)="","NULL",IFERROR(VLOOKUP(TRIM(J270),Lookup_PropertyType!$A:$B,2,FALSE()),"other"))</f>
        <v>apartment</v>
      </c>
      <c r="P270">
        <f t="shared" si="4"/>
        <v>1</v>
      </c>
    </row>
    <row r="271" spans="1:16" ht="15.75" customHeight="1" x14ac:dyDescent="0.35">
      <c r="A271" s="13">
        <v>270</v>
      </c>
      <c r="B271" s="14">
        <v>45730</v>
      </c>
      <c r="C271" s="15"/>
      <c r="D271" s="16" t="s">
        <v>32</v>
      </c>
      <c r="E271" s="17">
        <v>5600</v>
      </c>
      <c r="F271" s="18"/>
      <c r="G271" s="18"/>
      <c r="H271" s="19">
        <v>350000</v>
      </c>
      <c r="I271" s="19">
        <v>100000</v>
      </c>
      <c r="J271" s="20" t="s">
        <v>33</v>
      </c>
      <c r="K271" s="13">
        <v>45</v>
      </c>
      <c r="L271" s="21" t="s">
        <v>59</v>
      </c>
      <c r="M271" s="21" t="s">
        <v>39</v>
      </c>
      <c r="N271" s="16" t="s">
        <v>42</v>
      </c>
      <c r="O271" t="str">
        <f>IF(TRIM(J271)="","NULL",IFERROR(VLOOKUP(TRIM(J271),Lookup_PropertyType!$A:$B,2,FALSE()),"other"))</f>
        <v>apartment</v>
      </c>
      <c r="P271">
        <f t="shared" si="4"/>
        <v>0</v>
      </c>
    </row>
    <row r="272" spans="1:16" ht="15.75" customHeight="1" x14ac:dyDescent="0.35">
      <c r="A272" s="13">
        <v>271</v>
      </c>
      <c r="B272" s="14">
        <v>45736</v>
      </c>
      <c r="C272" s="14">
        <v>45775</v>
      </c>
      <c r="D272" s="16" t="s">
        <v>32</v>
      </c>
      <c r="E272" s="17">
        <v>3800</v>
      </c>
      <c r="F272" s="18"/>
      <c r="G272" s="18"/>
      <c r="H272" s="19">
        <v>250000</v>
      </c>
      <c r="I272" s="19">
        <v>30000</v>
      </c>
      <c r="J272" s="20" t="s">
        <v>37</v>
      </c>
      <c r="K272" s="13">
        <v>31</v>
      </c>
      <c r="L272" s="21" t="s">
        <v>41</v>
      </c>
      <c r="M272" s="21" t="s">
        <v>39</v>
      </c>
      <c r="N272" s="16" t="s">
        <v>43</v>
      </c>
      <c r="O272" t="str">
        <f>IF(TRIM(J272)="","NULL",IFERROR(VLOOKUP(TRIM(J272),Lookup_PropertyType!$A:$B,2,FALSE()),"other"))</f>
        <v>house</v>
      </c>
      <c r="P272">
        <f t="shared" si="4"/>
        <v>1</v>
      </c>
    </row>
    <row r="273" spans="1:16" ht="15.75" customHeight="1" x14ac:dyDescent="0.35">
      <c r="A273" s="13">
        <v>272</v>
      </c>
      <c r="B273" s="14">
        <v>45730</v>
      </c>
      <c r="C273" s="14">
        <v>45785</v>
      </c>
      <c r="D273" s="16" t="s">
        <v>32</v>
      </c>
      <c r="E273" s="17">
        <v>6000</v>
      </c>
      <c r="F273" s="18"/>
      <c r="G273" s="18"/>
      <c r="H273" s="19">
        <v>200000</v>
      </c>
      <c r="I273" s="19">
        <v>50000</v>
      </c>
      <c r="J273" s="20" t="s">
        <v>33</v>
      </c>
      <c r="K273" s="13">
        <v>38</v>
      </c>
      <c r="L273" s="21" t="s">
        <v>38</v>
      </c>
      <c r="M273" s="21" t="s">
        <v>39</v>
      </c>
      <c r="N273" s="16" t="s">
        <v>42</v>
      </c>
      <c r="O273" t="str">
        <f>IF(TRIM(J273)="","NULL",IFERROR(VLOOKUP(TRIM(J273),Lookup_PropertyType!$A:$B,2,FALSE()),"other"))</f>
        <v>apartment</v>
      </c>
      <c r="P273">
        <f t="shared" si="4"/>
        <v>1</v>
      </c>
    </row>
    <row r="274" spans="1:16" ht="15.75" customHeight="1" x14ac:dyDescent="0.35">
      <c r="A274" s="13">
        <v>273</v>
      </c>
      <c r="B274" s="14">
        <v>45743</v>
      </c>
      <c r="C274" s="14">
        <v>45789</v>
      </c>
      <c r="D274" s="16" t="s">
        <v>32</v>
      </c>
      <c r="E274" s="17">
        <v>10000</v>
      </c>
      <c r="F274" s="18"/>
      <c r="G274" s="18"/>
      <c r="H274" s="19">
        <v>300000</v>
      </c>
      <c r="I274" s="19">
        <v>150000</v>
      </c>
      <c r="J274" s="20" t="s">
        <v>33</v>
      </c>
      <c r="K274" s="13">
        <v>52</v>
      </c>
      <c r="L274" s="21" t="s">
        <v>45</v>
      </c>
      <c r="M274" s="21" t="s">
        <v>72</v>
      </c>
      <c r="N274" s="16" t="s">
        <v>36</v>
      </c>
      <c r="O274" t="str">
        <f>IF(TRIM(J274)="","NULL",IFERROR(VLOOKUP(TRIM(J274),Lookup_PropertyType!$A:$B,2,FALSE()),"other"))</f>
        <v>apartment</v>
      </c>
      <c r="P274">
        <f t="shared" si="4"/>
        <v>1</v>
      </c>
    </row>
    <row r="275" spans="1:16" ht="15.75" customHeight="1" x14ac:dyDescent="0.35">
      <c r="A275" s="13">
        <v>274</v>
      </c>
      <c r="B275" s="14">
        <v>45740</v>
      </c>
      <c r="C275" s="15"/>
      <c r="D275" s="16" t="s">
        <v>32</v>
      </c>
      <c r="E275" s="17">
        <v>10900</v>
      </c>
      <c r="F275" s="18"/>
      <c r="G275" s="18"/>
      <c r="H275" s="19">
        <v>200000</v>
      </c>
      <c r="I275" s="19">
        <v>90000</v>
      </c>
      <c r="J275" s="20" t="s">
        <v>60</v>
      </c>
      <c r="K275" s="13">
        <v>44</v>
      </c>
      <c r="L275" s="21" t="s">
        <v>38</v>
      </c>
      <c r="M275" s="21" t="s">
        <v>54</v>
      </c>
      <c r="N275" s="16" t="s">
        <v>36</v>
      </c>
      <c r="O275" t="str">
        <f>IF(TRIM(J275)="","NULL",IFERROR(VLOOKUP(TRIM(J275),Lookup_PropertyType!$A:$B,2,FALSE()),"other"))</f>
        <v>other</v>
      </c>
      <c r="P275">
        <f t="shared" si="4"/>
        <v>0</v>
      </c>
    </row>
    <row r="276" spans="1:16" ht="15.75" customHeight="1" x14ac:dyDescent="0.35">
      <c r="A276" s="13">
        <v>275</v>
      </c>
      <c r="B276" s="14">
        <v>45753</v>
      </c>
      <c r="C276" s="15"/>
      <c r="D276" s="16" t="s">
        <v>32</v>
      </c>
      <c r="E276" s="17">
        <v>20000</v>
      </c>
      <c r="F276" s="18"/>
      <c r="G276" s="18"/>
      <c r="H276" s="19">
        <v>2000000</v>
      </c>
      <c r="I276" s="19">
        <v>200000</v>
      </c>
      <c r="J276" s="20" t="s">
        <v>37</v>
      </c>
      <c r="K276" s="13">
        <v>69</v>
      </c>
      <c r="L276" s="21" t="s">
        <v>45</v>
      </c>
      <c r="M276" s="21" t="s">
        <v>39</v>
      </c>
      <c r="N276" s="16" t="s">
        <v>36</v>
      </c>
      <c r="O276" t="str">
        <f>IF(TRIM(J276)="","NULL",IFERROR(VLOOKUP(TRIM(J276),Lookup_PropertyType!$A:$B,2,FALSE()),"other"))</f>
        <v>house</v>
      </c>
      <c r="P276">
        <f t="shared" si="4"/>
        <v>0</v>
      </c>
    </row>
    <row r="277" spans="1:16" ht="15.75" customHeight="1" x14ac:dyDescent="0.35">
      <c r="A277" s="13">
        <v>276</v>
      </c>
      <c r="B277" s="14">
        <v>45711</v>
      </c>
      <c r="C277" s="15"/>
      <c r="D277" s="16" t="s">
        <v>44</v>
      </c>
      <c r="E277" s="17">
        <v>8500</v>
      </c>
      <c r="F277" s="18"/>
      <c r="G277" s="18"/>
      <c r="H277" s="19">
        <v>290000</v>
      </c>
      <c r="I277" s="19">
        <v>100000</v>
      </c>
      <c r="J277" s="20" t="s">
        <v>37</v>
      </c>
      <c r="K277" s="13">
        <v>43</v>
      </c>
      <c r="L277" s="21" t="s">
        <v>38</v>
      </c>
      <c r="M277" s="21" t="s">
        <v>54</v>
      </c>
      <c r="N277" s="16" t="s">
        <v>42</v>
      </c>
      <c r="O277" t="str">
        <f>IF(TRIM(J277)="","NULL",IFERROR(VLOOKUP(TRIM(J277),Lookup_PropertyType!$A:$B,2,FALSE()),"other"))</f>
        <v>house</v>
      </c>
      <c r="P277">
        <f t="shared" si="4"/>
        <v>0</v>
      </c>
    </row>
    <row r="278" spans="1:16" ht="15.75" customHeight="1" x14ac:dyDescent="0.35">
      <c r="A278" s="13">
        <v>277</v>
      </c>
      <c r="B278" s="14">
        <v>45758</v>
      </c>
      <c r="C278" s="15"/>
      <c r="D278" s="16" t="s">
        <v>32</v>
      </c>
      <c r="E278" s="17">
        <v>35000</v>
      </c>
      <c r="F278" s="18"/>
      <c r="G278" s="18"/>
      <c r="H278" s="19">
        <v>500000</v>
      </c>
      <c r="I278" s="19">
        <v>250000</v>
      </c>
      <c r="J278" s="20" t="s">
        <v>33</v>
      </c>
      <c r="K278" s="13">
        <v>70</v>
      </c>
      <c r="L278" s="21" t="s">
        <v>41</v>
      </c>
      <c r="M278" s="21" t="s">
        <v>39</v>
      </c>
      <c r="N278" s="16" t="s">
        <v>36</v>
      </c>
      <c r="O278" t="str">
        <f>IF(TRIM(J278)="","NULL",IFERROR(VLOOKUP(TRIM(J278),Lookup_PropertyType!$A:$B,2,FALSE()),"other"))</f>
        <v>apartment</v>
      </c>
      <c r="P278">
        <f t="shared" si="4"/>
        <v>0</v>
      </c>
    </row>
    <row r="279" spans="1:16" ht="15.75" customHeight="1" x14ac:dyDescent="0.35">
      <c r="A279" s="13">
        <v>278</v>
      </c>
      <c r="B279" s="14">
        <v>45725</v>
      </c>
      <c r="C279" s="15"/>
      <c r="D279" s="16" t="s">
        <v>69</v>
      </c>
      <c r="E279" s="17">
        <v>29000</v>
      </c>
      <c r="F279" s="18"/>
      <c r="G279" s="18"/>
      <c r="H279" s="19">
        <v>350000</v>
      </c>
      <c r="I279" s="19">
        <v>140000</v>
      </c>
      <c r="J279" s="20" t="s">
        <v>53</v>
      </c>
      <c r="K279" s="13">
        <v>42</v>
      </c>
      <c r="L279" s="21" t="s">
        <v>64</v>
      </c>
      <c r="M279" s="21" t="s">
        <v>39</v>
      </c>
      <c r="N279" s="16" t="s">
        <v>36</v>
      </c>
      <c r="O279" t="str">
        <f>IF(TRIM(J279)="","NULL",IFERROR(VLOOKUP(TRIM(J279),Lookup_PropertyType!$A:$B,2,FALSE()),"other"))</f>
        <v>other</v>
      </c>
      <c r="P279">
        <f t="shared" si="4"/>
        <v>0</v>
      </c>
    </row>
    <row r="280" spans="1:16" ht="15.75" customHeight="1" x14ac:dyDescent="0.35">
      <c r="A280" s="13">
        <v>279</v>
      </c>
      <c r="B280" s="14">
        <v>45733</v>
      </c>
      <c r="C280" s="15"/>
      <c r="D280" s="16" t="s">
        <v>44</v>
      </c>
      <c r="E280" s="17">
        <v>6500</v>
      </c>
      <c r="F280" s="18"/>
      <c r="G280" s="18"/>
      <c r="H280" s="19">
        <v>500000</v>
      </c>
      <c r="I280" s="19">
        <v>90000</v>
      </c>
      <c r="J280" s="20" t="s">
        <v>33</v>
      </c>
      <c r="K280" s="13">
        <v>51</v>
      </c>
      <c r="L280" s="21" t="s">
        <v>38</v>
      </c>
      <c r="M280" s="21" t="s">
        <v>54</v>
      </c>
      <c r="N280" s="16" t="s">
        <v>42</v>
      </c>
      <c r="O280" t="str">
        <f>IF(TRIM(J280)="","NULL",IFERROR(VLOOKUP(TRIM(J280),Lookup_PropertyType!$A:$B,2,FALSE()),"other"))</f>
        <v>apartment</v>
      </c>
      <c r="P280">
        <f t="shared" si="4"/>
        <v>0</v>
      </c>
    </row>
    <row r="281" spans="1:16" ht="15.75" customHeight="1" x14ac:dyDescent="0.35">
      <c r="A281" s="13">
        <v>280</v>
      </c>
      <c r="B281" s="14">
        <v>45750</v>
      </c>
      <c r="C281" s="15"/>
      <c r="D281" s="16" t="s">
        <v>32</v>
      </c>
      <c r="E281" s="17">
        <v>4200</v>
      </c>
      <c r="F281" s="18"/>
      <c r="G281" s="18"/>
      <c r="H281" s="19">
        <v>220000</v>
      </c>
      <c r="I281" s="19">
        <v>30000</v>
      </c>
      <c r="J281" s="20" t="s">
        <v>37</v>
      </c>
      <c r="K281" s="13">
        <v>43</v>
      </c>
      <c r="L281" s="21" t="s">
        <v>38</v>
      </c>
      <c r="M281" s="21" t="s">
        <v>54</v>
      </c>
      <c r="N281" s="16" t="s">
        <v>42</v>
      </c>
      <c r="O281" t="str">
        <f>IF(TRIM(J281)="","NULL",IFERROR(VLOOKUP(TRIM(J281),Lookup_PropertyType!$A:$B,2,FALSE()),"other"))</f>
        <v>house</v>
      </c>
      <c r="P281">
        <f t="shared" si="4"/>
        <v>0</v>
      </c>
    </row>
    <row r="282" spans="1:16" ht="15.75" customHeight="1" x14ac:dyDescent="0.35">
      <c r="A282" s="13">
        <v>281</v>
      </c>
      <c r="B282" s="14">
        <v>45900</v>
      </c>
      <c r="C282" s="15"/>
      <c r="D282" s="16" t="s">
        <v>32</v>
      </c>
      <c r="E282" s="17">
        <v>11000</v>
      </c>
      <c r="F282" s="13">
        <v>180</v>
      </c>
      <c r="G282" s="18"/>
      <c r="H282" s="19">
        <v>500000</v>
      </c>
      <c r="I282" s="19">
        <v>50000</v>
      </c>
      <c r="J282" s="20" t="s">
        <v>33</v>
      </c>
      <c r="K282" s="13">
        <v>52</v>
      </c>
      <c r="L282" s="21" t="s">
        <v>38</v>
      </c>
      <c r="M282" s="21" t="s">
        <v>54</v>
      </c>
      <c r="N282" s="16" t="s">
        <v>40</v>
      </c>
      <c r="O282" t="str">
        <f>IF(TRIM(J282)="","NULL",IFERROR(VLOOKUP(TRIM(J282),Lookup_PropertyType!$A:$B,2,FALSE()),"other"))</f>
        <v>apartment</v>
      </c>
      <c r="P282">
        <f t="shared" si="4"/>
        <v>0</v>
      </c>
    </row>
    <row r="283" spans="1:16" ht="15.75" customHeight="1" x14ac:dyDescent="0.35">
      <c r="A283" s="13">
        <v>282</v>
      </c>
      <c r="B283" s="14">
        <v>45710</v>
      </c>
      <c r="C283" s="14">
        <v>45788</v>
      </c>
      <c r="D283" s="16" t="s">
        <v>49</v>
      </c>
      <c r="E283" s="17">
        <v>55000</v>
      </c>
      <c r="F283" s="18"/>
      <c r="G283" s="18"/>
      <c r="H283" s="19">
        <v>1500000</v>
      </c>
      <c r="I283" s="19">
        <v>1000000</v>
      </c>
      <c r="J283" s="20" t="s">
        <v>37</v>
      </c>
      <c r="K283" s="13">
        <v>61</v>
      </c>
      <c r="L283" s="21" t="s">
        <v>34</v>
      </c>
      <c r="M283" s="21" t="s">
        <v>39</v>
      </c>
      <c r="N283" s="16" t="s">
        <v>36</v>
      </c>
      <c r="O283" t="str">
        <f>IF(TRIM(J283)="","NULL",IFERROR(VLOOKUP(TRIM(J283),Lookup_PropertyType!$A:$B,2,FALSE()),"other"))</f>
        <v>house</v>
      </c>
      <c r="P283">
        <f t="shared" si="4"/>
        <v>1</v>
      </c>
    </row>
    <row r="284" spans="1:16" ht="15.75" customHeight="1" x14ac:dyDescent="0.35">
      <c r="A284" s="13">
        <v>283</v>
      </c>
      <c r="B284" s="14">
        <v>45746</v>
      </c>
      <c r="C284" s="14">
        <v>45766</v>
      </c>
      <c r="D284" s="16" t="s">
        <v>32</v>
      </c>
      <c r="E284" s="17">
        <v>20000</v>
      </c>
      <c r="F284" s="18"/>
      <c r="G284" s="18"/>
      <c r="H284" s="19">
        <v>680000</v>
      </c>
      <c r="I284" s="19">
        <v>300000</v>
      </c>
      <c r="J284" s="20" t="s">
        <v>37</v>
      </c>
      <c r="K284" s="13">
        <v>50</v>
      </c>
      <c r="L284" s="21" t="s">
        <v>38</v>
      </c>
      <c r="M284" s="21" t="s">
        <v>39</v>
      </c>
      <c r="N284" s="16" t="s">
        <v>36</v>
      </c>
      <c r="O284" t="str">
        <f>IF(TRIM(J284)="","NULL",IFERROR(VLOOKUP(TRIM(J284),Lookup_PropertyType!$A:$B,2,FALSE()),"other"))</f>
        <v>house</v>
      </c>
      <c r="P284">
        <f t="shared" si="4"/>
        <v>1</v>
      </c>
    </row>
    <row r="285" spans="1:16" ht="15.75" customHeight="1" x14ac:dyDescent="0.35">
      <c r="A285" s="13">
        <v>284</v>
      </c>
      <c r="B285" s="14">
        <v>45831</v>
      </c>
      <c r="C285" s="15"/>
      <c r="D285" s="16" t="s">
        <v>46</v>
      </c>
      <c r="E285" s="17">
        <v>22000</v>
      </c>
      <c r="F285" s="18"/>
      <c r="G285" s="18"/>
      <c r="H285" s="19">
        <v>800000</v>
      </c>
      <c r="I285" s="19">
        <v>200000</v>
      </c>
      <c r="J285" s="20" t="s">
        <v>33</v>
      </c>
      <c r="K285" s="13">
        <v>33</v>
      </c>
      <c r="L285" s="21" t="s">
        <v>41</v>
      </c>
      <c r="M285" s="21" t="s">
        <v>39</v>
      </c>
      <c r="N285" s="16" t="s">
        <v>36</v>
      </c>
      <c r="O285" t="str">
        <f>IF(TRIM(J285)="","NULL",IFERROR(VLOOKUP(TRIM(J285),Lookup_PropertyType!$A:$B,2,FALSE()),"other"))</f>
        <v>apartment</v>
      </c>
      <c r="P285">
        <f t="shared" si="4"/>
        <v>0</v>
      </c>
    </row>
    <row r="286" spans="1:16" ht="15.75" customHeight="1" x14ac:dyDescent="0.35">
      <c r="A286" s="13">
        <v>285</v>
      </c>
      <c r="B286" s="14">
        <v>45736</v>
      </c>
      <c r="C286" s="15"/>
      <c r="D286" s="16" t="s">
        <v>56</v>
      </c>
      <c r="E286" s="17">
        <v>18000</v>
      </c>
      <c r="F286" s="18"/>
      <c r="G286" s="18"/>
      <c r="H286" s="19">
        <v>650000</v>
      </c>
      <c r="I286" s="19">
        <v>250000</v>
      </c>
      <c r="J286" s="20" t="s">
        <v>53</v>
      </c>
      <c r="K286" s="13">
        <v>45</v>
      </c>
      <c r="L286" s="21" t="s">
        <v>38</v>
      </c>
      <c r="M286" s="21" t="s">
        <v>54</v>
      </c>
      <c r="N286" s="16" t="s">
        <v>36</v>
      </c>
      <c r="O286" t="str">
        <f>IF(TRIM(J286)="","NULL",IFERROR(VLOOKUP(TRIM(J286),Lookup_PropertyType!$A:$B,2,FALSE()),"other"))</f>
        <v>other</v>
      </c>
      <c r="P286">
        <f t="shared" si="4"/>
        <v>0</v>
      </c>
    </row>
    <row r="287" spans="1:16" ht="15.75" customHeight="1" x14ac:dyDescent="0.35">
      <c r="A287" s="13">
        <v>286</v>
      </c>
      <c r="B287" s="14">
        <v>45779</v>
      </c>
      <c r="C287" s="14">
        <v>45859</v>
      </c>
      <c r="D287" s="16" t="s">
        <v>49</v>
      </c>
      <c r="E287" s="17">
        <v>18000</v>
      </c>
      <c r="F287" s="18"/>
      <c r="G287" s="18"/>
      <c r="H287" s="19">
        <v>800000</v>
      </c>
      <c r="I287" s="19">
        <v>300000</v>
      </c>
      <c r="J287" s="20" t="s">
        <v>37</v>
      </c>
      <c r="K287" s="13">
        <v>37</v>
      </c>
      <c r="L287" s="21" t="s">
        <v>41</v>
      </c>
      <c r="M287" s="21" t="s">
        <v>39</v>
      </c>
      <c r="N287" s="16" t="s">
        <v>36</v>
      </c>
      <c r="O287" t="str">
        <f>IF(TRIM(J287)="","NULL",IFERROR(VLOOKUP(TRIM(J287),Lookup_PropertyType!$A:$B,2,FALSE()),"other"))</f>
        <v>house</v>
      </c>
      <c r="P287">
        <f t="shared" si="4"/>
        <v>1</v>
      </c>
    </row>
    <row r="288" spans="1:16" ht="15.75" customHeight="1" x14ac:dyDescent="0.35">
      <c r="A288" s="13">
        <v>287</v>
      </c>
      <c r="B288" s="14">
        <v>45786</v>
      </c>
      <c r="C288" s="15"/>
      <c r="D288" s="16" t="s">
        <v>49</v>
      </c>
      <c r="E288" s="17">
        <v>6000</v>
      </c>
      <c r="F288" s="18"/>
      <c r="G288" s="18"/>
      <c r="H288" s="19">
        <v>400000</v>
      </c>
      <c r="I288" s="19">
        <v>30000</v>
      </c>
      <c r="J288" s="20" t="s">
        <v>33</v>
      </c>
      <c r="K288" s="13">
        <v>30</v>
      </c>
      <c r="L288" s="21" t="s">
        <v>64</v>
      </c>
      <c r="M288" s="21" t="s">
        <v>35</v>
      </c>
      <c r="N288" s="16" t="s">
        <v>51</v>
      </c>
      <c r="O288" t="str">
        <f>IF(TRIM(J288)="","NULL",IFERROR(VLOOKUP(TRIM(J288),Lookup_PropertyType!$A:$B,2,FALSE()),"other"))</f>
        <v>apartment</v>
      </c>
      <c r="P288">
        <f t="shared" si="4"/>
        <v>0</v>
      </c>
    </row>
    <row r="289" spans="1:16" ht="15.75" customHeight="1" x14ac:dyDescent="0.35">
      <c r="A289" s="13">
        <v>288</v>
      </c>
      <c r="B289" s="14">
        <v>45787</v>
      </c>
      <c r="C289" s="14">
        <v>45817</v>
      </c>
      <c r="D289" s="16" t="s">
        <v>32</v>
      </c>
      <c r="E289" s="17">
        <v>18000</v>
      </c>
      <c r="F289" s="18"/>
      <c r="G289" s="18"/>
      <c r="H289" s="19">
        <v>200000</v>
      </c>
      <c r="I289" s="19">
        <v>200000</v>
      </c>
      <c r="J289" s="20" t="s">
        <v>37</v>
      </c>
      <c r="K289" s="13">
        <v>50</v>
      </c>
      <c r="L289" s="21" t="s">
        <v>59</v>
      </c>
      <c r="M289" s="21" t="s">
        <v>54</v>
      </c>
      <c r="N289" s="16" t="s">
        <v>40</v>
      </c>
      <c r="O289" t="str">
        <f>IF(TRIM(J289)="","NULL",IFERROR(VLOOKUP(TRIM(J289),Lookup_PropertyType!$A:$B,2,FALSE()),"other"))</f>
        <v>house</v>
      </c>
      <c r="P289">
        <f t="shared" si="4"/>
        <v>1</v>
      </c>
    </row>
    <row r="290" spans="1:16" ht="15.75" customHeight="1" x14ac:dyDescent="0.35">
      <c r="A290" s="13">
        <v>289</v>
      </c>
      <c r="B290" s="14">
        <v>45758</v>
      </c>
      <c r="C290" s="15"/>
      <c r="D290" s="16" t="s">
        <v>57</v>
      </c>
      <c r="E290" s="17">
        <v>10000</v>
      </c>
      <c r="F290" s="18"/>
      <c r="G290" s="18"/>
      <c r="H290" s="19">
        <v>180000</v>
      </c>
      <c r="I290" s="19">
        <v>50000</v>
      </c>
      <c r="J290" s="20" t="s">
        <v>53</v>
      </c>
      <c r="K290" s="13">
        <v>49</v>
      </c>
      <c r="L290" s="21" t="s">
        <v>38</v>
      </c>
      <c r="M290" s="21" t="s">
        <v>39</v>
      </c>
      <c r="N290" s="16" t="s">
        <v>42</v>
      </c>
      <c r="O290" t="str">
        <f>IF(TRIM(J290)="","NULL",IFERROR(VLOOKUP(TRIM(J290),Lookup_PropertyType!$A:$B,2,FALSE()),"other"))</f>
        <v>other</v>
      </c>
      <c r="P290">
        <f t="shared" si="4"/>
        <v>0</v>
      </c>
    </row>
    <row r="291" spans="1:16" ht="15.75" customHeight="1" x14ac:dyDescent="0.35">
      <c r="A291" s="13">
        <v>290</v>
      </c>
      <c r="B291" s="14">
        <v>45758</v>
      </c>
      <c r="C291" s="14">
        <v>45767</v>
      </c>
      <c r="D291" s="16" t="s">
        <v>32</v>
      </c>
      <c r="E291" s="17">
        <v>12000</v>
      </c>
      <c r="F291" s="18"/>
      <c r="G291" s="18"/>
      <c r="H291" s="19">
        <v>290000</v>
      </c>
      <c r="I291" s="19">
        <v>100000</v>
      </c>
      <c r="J291" s="20" t="s">
        <v>33</v>
      </c>
      <c r="K291" s="13">
        <v>48</v>
      </c>
      <c r="L291" s="21" t="s">
        <v>38</v>
      </c>
      <c r="M291" s="21" t="s">
        <v>39</v>
      </c>
      <c r="N291" s="16" t="s">
        <v>50</v>
      </c>
      <c r="O291" t="str">
        <f>IF(TRIM(J291)="","NULL",IFERROR(VLOOKUP(TRIM(J291),Lookup_PropertyType!$A:$B,2,FALSE()),"other"))</f>
        <v>apartment</v>
      </c>
      <c r="P291">
        <f t="shared" si="4"/>
        <v>1</v>
      </c>
    </row>
    <row r="292" spans="1:16" ht="15.75" customHeight="1" x14ac:dyDescent="0.35">
      <c r="A292" s="13">
        <v>291</v>
      </c>
      <c r="B292" s="14">
        <v>45745</v>
      </c>
      <c r="C292" s="15"/>
      <c r="D292" s="16" t="s">
        <v>32</v>
      </c>
      <c r="E292" s="17">
        <v>6000</v>
      </c>
      <c r="F292" s="18"/>
      <c r="G292" s="18"/>
      <c r="H292" s="19">
        <v>220000</v>
      </c>
      <c r="I292" s="19">
        <v>263503</v>
      </c>
      <c r="J292" s="20" t="s">
        <v>37</v>
      </c>
      <c r="K292" s="13">
        <v>54</v>
      </c>
      <c r="L292" s="21" t="s">
        <v>41</v>
      </c>
      <c r="M292" s="21" t="s">
        <v>54</v>
      </c>
      <c r="N292" s="16" t="s">
        <v>42</v>
      </c>
      <c r="O292" t="str">
        <f>IF(TRIM(J292)="","NULL",IFERROR(VLOOKUP(TRIM(J292),Lookup_PropertyType!$A:$B,2,FALSE()),"other"))</f>
        <v>house</v>
      </c>
      <c r="P292">
        <f t="shared" si="4"/>
        <v>0</v>
      </c>
    </row>
    <row r="293" spans="1:16" ht="15.75" customHeight="1" x14ac:dyDescent="0.35">
      <c r="A293" s="13">
        <v>292</v>
      </c>
      <c r="B293" s="14">
        <v>45752</v>
      </c>
      <c r="C293" s="14">
        <v>45841</v>
      </c>
      <c r="D293" s="16" t="s">
        <v>49</v>
      </c>
      <c r="E293" s="17">
        <v>8000</v>
      </c>
      <c r="F293" s="18"/>
      <c r="G293" s="18"/>
      <c r="H293" s="19">
        <v>800000</v>
      </c>
      <c r="I293" s="19">
        <v>100000</v>
      </c>
      <c r="J293" s="20" t="s">
        <v>37</v>
      </c>
      <c r="K293" s="13">
        <v>33</v>
      </c>
      <c r="L293" s="21" t="s">
        <v>38</v>
      </c>
      <c r="M293" s="21" t="s">
        <v>39</v>
      </c>
      <c r="N293" s="16" t="s">
        <v>42</v>
      </c>
      <c r="O293" t="str">
        <f>IF(TRIM(J293)="","NULL",IFERROR(VLOOKUP(TRIM(J293),Lookup_PropertyType!$A:$B,2,FALSE()),"other"))</f>
        <v>house</v>
      </c>
      <c r="P293">
        <f t="shared" si="4"/>
        <v>1</v>
      </c>
    </row>
    <row r="294" spans="1:16" ht="15.75" customHeight="1" x14ac:dyDescent="0.35">
      <c r="A294" s="13">
        <v>293</v>
      </c>
      <c r="B294" s="14">
        <v>45732</v>
      </c>
      <c r="C294" s="15"/>
      <c r="D294" s="16" t="s">
        <v>44</v>
      </c>
      <c r="E294" s="17">
        <v>6000</v>
      </c>
      <c r="F294" s="18"/>
      <c r="G294" s="18"/>
      <c r="H294" s="19">
        <v>350000</v>
      </c>
      <c r="I294" s="19">
        <v>60000</v>
      </c>
      <c r="J294" s="20" t="s">
        <v>33</v>
      </c>
      <c r="K294" s="13">
        <v>60</v>
      </c>
      <c r="L294" s="21" t="s">
        <v>45</v>
      </c>
      <c r="M294" s="21" t="s">
        <v>39</v>
      </c>
      <c r="N294" s="16" t="s">
        <v>43</v>
      </c>
      <c r="O294" t="str">
        <f>IF(TRIM(J294)="","NULL",IFERROR(VLOOKUP(TRIM(J294),Lookup_PropertyType!$A:$B,2,FALSE()),"other"))</f>
        <v>apartment</v>
      </c>
      <c r="P294">
        <f t="shared" si="4"/>
        <v>0</v>
      </c>
    </row>
    <row r="295" spans="1:16" ht="15.75" customHeight="1" x14ac:dyDescent="0.35">
      <c r="A295" s="13">
        <v>294</v>
      </c>
      <c r="B295" s="14">
        <v>45737</v>
      </c>
      <c r="C295" s="14">
        <v>45766</v>
      </c>
      <c r="D295" s="16" t="s">
        <v>32</v>
      </c>
      <c r="E295" s="17">
        <v>5500</v>
      </c>
      <c r="F295" s="18"/>
      <c r="G295" s="18"/>
      <c r="H295" s="19">
        <v>450000</v>
      </c>
      <c r="I295" s="19">
        <v>50000</v>
      </c>
      <c r="J295" s="20" t="s">
        <v>33</v>
      </c>
      <c r="K295" s="13">
        <v>58</v>
      </c>
      <c r="L295" s="21" t="s">
        <v>45</v>
      </c>
      <c r="M295" s="21" t="s">
        <v>54</v>
      </c>
      <c r="N295" s="16" t="s">
        <v>42</v>
      </c>
      <c r="O295" t="str">
        <f>IF(TRIM(J295)="","NULL",IFERROR(VLOOKUP(TRIM(J295),Lookup_PropertyType!$A:$B,2,FALSE()),"other"))</f>
        <v>apartment</v>
      </c>
      <c r="P295">
        <f t="shared" si="4"/>
        <v>1</v>
      </c>
    </row>
    <row r="296" spans="1:16" ht="15.75" customHeight="1" x14ac:dyDescent="0.35">
      <c r="A296" s="13">
        <v>295</v>
      </c>
      <c r="B296" s="14">
        <v>45772</v>
      </c>
      <c r="C296" s="15"/>
      <c r="D296" s="16" t="s">
        <v>76</v>
      </c>
      <c r="E296" s="17">
        <v>8500</v>
      </c>
      <c r="F296" s="18"/>
      <c r="G296" s="18"/>
      <c r="H296" s="19">
        <v>200000</v>
      </c>
      <c r="I296" s="19">
        <v>100000</v>
      </c>
      <c r="J296" s="20" t="s">
        <v>33</v>
      </c>
      <c r="K296" s="13">
        <v>47</v>
      </c>
      <c r="L296" s="21" t="s">
        <v>38</v>
      </c>
      <c r="M296" s="21" t="s">
        <v>39</v>
      </c>
      <c r="N296" s="16" t="s">
        <v>51</v>
      </c>
      <c r="O296" t="str">
        <f>IF(TRIM(J296)="","NULL",IFERROR(VLOOKUP(TRIM(J296),Lookup_PropertyType!$A:$B,2,FALSE()),"other"))</f>
        <v>apartment</v>
      </c>
      <c r="P296">
        <f t="shared" si="4"/>
        <v>0</v>
      </c>
    </row>
    <row r="297" spans="1:16" ht="15.75" customHeight="1" x14ac:dyDescent="0.35">
      <c r="A297" s="13">
        <v>296</v>
      </c>
      <c r="B297" s="14">
        <v>45750</v>
      </c>
      <c r="C297" s="15"/>
      <c r="D297" s="16" t="s">
        <v>32</v>
      </c>
      <c r="E297" s="17">
        <v>3000</v>
      </c>
      <c r="F297" s="18"/>
      <c r="G297" s="18"/>
      <c r="H297" s="19">
        <v>210000</v>
      </c>
      <c r="I297" s="19">
        <v>55000</v>
      </c>
      <c r="J297" s="20" t="s">
        <v>33</v>
      </c>
      <c r="K297" s="13">
        <v>60</v>
      </c>
      <c r="L297" s="21" t="s">
        <v>38</v>
      </c>
      <c r="M297" s="21" t="s">
        <v>48</v>
      </c>
      <c r="N297" s="16" t="s">
        <v>43</v>
      </c>
      <c r="O297" t="str">
        <f>IF(TRIM(J297)="","NULL",IFERROR(VLOOKUP(TRIM(J297),Lookup_PropertyType!$A:$B,2,FALSE()),"other"))</f>
        <v>apartment</v>
      </c>
      <c r="P297">
        <f t="shared" si="4"/>
        <v>0</v>
      </c>
    </row>
    <row r="298" spans="1:16" ht="15.75" customHeight="1" x14ac:dyDescent="0.35">
      <c r="A298" s="13">
        <v>297</v>
      </c>
      <c r="B298" s="14">
        <v>45746</v>
      </c>
      <c r="C298" s="15"/>
      <c r="D298" s="16" t="s">
        <v>49</v>
      </c>
      <c r="E298" s="17">
        <v>20860</v>
      </c>
      <c r="F298" s="18"/>
      <c r="G298" s="18"/>
      <c r="H298" s="19">
        <v>600000</v>
      </c>
      <c r="I298" s="19">
        <v>380000</v>
      </c>
      <c r="J298" s="20" t="s">
        <v>37</v>
      </c>
      <c r="K298" s="13">
        <v>51</v>
      </c>
      <c r="L298" s="21" t="s">
        <v>59</v>
      </c>
      <c r="M298" s="21" t="s">
        <v>39</v>
      </c>
      <c r="N298" s="16" t="s">
        <v>50</v>
      </c>
      <c r="O298" t="str">
        <f>IF(TRIM(J298)="","NULL",IFERROR(VLOOKUP(TRIM(J298),Lookup_PropertyType!$A:$B,2,FALSE()),"other"))</f>
        <v>house</v>
      </c>
      <c r="P298">
        <f t="shared" si="4"/>
        <v>0</v>
      </c>
    </row>
    <row r="299" spans="1:16" ht="15.75" customHeight="1" x14ac:dyDescent="0.35">
      <c r="A299" s="13">
        <v>298</v>
      </c>
      <c r="B299" s="14">
        <v>45880</v>
      </c>
      <c r="C299" s="15"/>
      <c r="D299" s="16" t="s">
        <v>49</v>
      </c>
      <c r="E299" s="17">
        <v>20000</v>
      </c>
      <c r="F299" s="18"/>
      <c r="G299" s="18"/>
      <c r="H299" s="19">
        <v>350000</v>
      </c>
      <c r="I299" s="19">
        <v>45000</v>
      </c>
      <c r="J299" s="20" t="s">
        <v>33</v>
      </c>
      <c r="K299" s="13">
        <v>55</v>
      </c>
      <c r="L299" s="21" t="s">
        <v>38</v>
      </c>
      <c r="M299" s="21" t="s">
        <v>35</v>
      </c>
      <c r="N299" s="16" t="s">
        <v>50</v>
      </c>
      <c r="O299" t="str">
        <f>IF(TRIM(J299)="","NULL",IFERROR(VLOOKUP(TRIM(J299),Lookup_PropertyType!$A:$B,2,FALSE()),"other"))</f>
        <v>apartment</v>
      </c>
      <c r="P299">
        <f t="shared" si="4"/>
        <v>0</v>
      </c>
    </row>
    <row r="300" spans="1:16" ht="15.75" customHeight="1" x14ac:dyDescent="0.35">
      <c r="A300" s="13">
        <v>299</v>
      </c>
      <c r="B300" s="14">
        <v>45771</v>
      </c>
      <c r="C300" s="14">
        <v>45799</v>
      </c>
      <c r="D300" s="16" t="s">
        <v>57</v>
      </c>
      <c r="E300" s="17">
        <v>70000</v>
      </c>
      <c r="F300" s="18"/>
      <c r="G300" s="18"/>
      <c r="H300" s="19">
        <v>5000000</v>
      </c>
      <c r="I300" s="19">
        <v>700000</v>
      </c>
      <c r="J300" s="20" t="s">
        <v>37</v>
      </c>
      <c r="K300" s="13">
        <v>50</v>
      </c>
      <c r="L300" s="21" t="s">
        <v>59</v>
      </c>
      <c r="M300" s="21" t="s">
        <v>39</v>
      </c>
      <c r="N300" s="16" t="s">
        <v>36</v>
      </c>
      <c r="O300" t="str">
        <f>IF(TRIM(J300)="","NULL",IFERROR(VLOOKUP(TRIM(J300),Lookup_PropertyType!$A:$B,2,FALSE()),"other"))</f>
        <v>house</v>
      </c>
      <c r="P300">
        <f t="shared" si="4"/>
        <v>1</v>
      </c>
    </row>
    <row r="301" spans="1:16" ht="15.75" customHeight="1" x14ac:dyDescent="0.35">
      <c r="A301" s="13">
        <v>300</v>
      </c>
      <c r="B301" s="14">
        <v>45759</v>
      </c>
      <c r="C301" s="14">
        <v>45796</v>
      </c>
      <c r="D301" s="16" t="s">
        <v>32</v>
      </c>
      <c r="E301" s="17">
        <v>7500</v>
      </c>
      <c r="F301" s="18"/>
      <c r="G301" s="18"/>
      <c r="H301" s="19">
        <v>260000</v>
      </c>
      <c r="I301" s="19">
        <v>80000</v>
      </c>
      <c r="J301" s="20" t="s">
        <v>33</v>
      </c>
      <c r="K301" s="13">
        <v>55</v>
      </c>
      <c r="L301" s="21" t="s">
        <v>38</v>
      </c>
      <c r="M301" s="21" t="s">
        <v>39</v>
      </c>
      <c r="N301" s="16" t="s">
        <v>42</v>
      </c>
      <c r="O301" t="str">
        <f>IF(TRIM(J301)="","NULL",IFERROR(VLOOKUP(TRIM(J301),Lookup_PropertyType!$A:$B,2,FALSE()),"other"))</f>
        <v>apartment</v>
      </c>
      <c r="P301">
        <f t="shared" si="4"/>
        <v>1</v>
      </c>
    </row>
    <row r="302" spans="1:16" ht="15.75" customHeight="1" x14ac:dyDescent="0.35">
      <c r="A302" s="13">
        <v>301</v>
      </c>
      <c r="B302" s="14">
        <v>45738</v>
      </c>
      <c r="C302" s="14">
        <v>45820</v>
      </c>
      <c r="D302" s="16" t="s">
        <v>58</v>
      </c>
      <c r="E302" s="17">
        <v>14458.58</v>
      </c>
      <c r="F302" s="18"/>
      <c r="G302" s="18"/>
      <c r="H302" s="19">
        <v>600000</v>
      </c>
      <c r="I302" s="19">
        <v>200000</v>
      </c>
      <c r="J302" s="20" t="s">
        <v>33</v>
      </c>
      <c r="K302" s="13">
        <v>55</v>
      </c>
      <c r="L302" s="21" t="s">
        <v>45</v>
      </c>
      <c r="M302" s="21" t="s">
        <v>39</v>
      </c>
      <c r="N302" s="16" t="s">
        <v>42</v>
      </c>
      <c r="O302" t="str">
        <f>IF(TRIM(J302)="","NULL",IFERROR(VLOOKUP(TRIM(J302),Lookup_PropertyType!$A:$B,2,FALSE()),"other"))</f>
        <v>apartment</v>
      </c>
      <c r="P302">
        <f t="shared" si="4"/>
        <v>1</v>
      </c>
    </row>
    <row r="303" spans="1:16" ht="15.75" customHeight="1" x14ac:dyDescent="0.35">
      <c r="A303" s="13">
        <v>302</v>
      </c>
      <c r="B303" s="14">
        <v>45820</v>
      </c>
      <c r="C303" s="14">
        <v>45893</v>
      </c>
      <c r="D303" s="16" t="s">
        <v>32</v>
      </c>
      <c r="E303" s="17">
        <v>100000</v>
      </c>
      <c r="F303" s="18"/>
      <c r="G303" s="18"/>
      <c r="H303" s="19">
        <v>3500000</v>
      </c>
      <c r="I303" s="19">
        <v>2000000</v>
      </c>
      <c r="J303" s="20" t="s">
        <v>33</v>
      </c>
      <c r="K303" s="13">
        <v>40</v>
      </c>
      <c r="L303" s="21" t="s">
        <v>45</v>
      </c>
      <c r="M303" s="21" t="s">
        <v>54</v>
      </c>
      <c r="N303" s="16" t="s">
        <v>36</v>
      </c>
      <c r="O303" t="str">
        <f>IF(TRIM(J303)="","NULL",IFERROR(VLOOKUP(TRIM(J303),Lookup_PropertyType!$A:$B,2,FALSE()),"other"))</f>
        <v>apartment</v>
      </c>
      <c r="P303">
        <f t="shared" si="4"/>
        <v>1</v>
      </c>
    </row>
    <row r="304" spans="1:16" ht="15.75" customHeight="1" x14ac:dyDescent="0.35">
      <c r="A304" s="13">
        <v>303</v>
      </c>
      <c r="B304" s="14">
        <v>45772</v>
      </c>
      <c r="C304" s="15"/>
      <c r="D304" s="16" t="s">
        <v>58</v>
      </c>
      <c r="E304" s="17">
        <v>10000</v>
      </c>
      <c r="F304" s="18"/>
      <c r="G304" s="18"/>
      <c r="H304" s="19">
        <v>500000</v>
      </c>
      <c r="I304" s="19">
        <v>30000</v>
      </c>
      <c r="J304" s="20" t="s">
        <v>33</v>
      </c>
      <c r="K304" s="13">
        <v>46</v>
      </c>
      <c r="L304" s="21" t="s">
        <v>41</v>
      </c>
      <c r="M304" s="21" t="s">
        <v>39</v>
      </c>
      <c r="N304" s="16" t="s">
        <v>51</v>
      </c>
      <c r="O304" t="str">
        <f>IF(TRIM(J304)="","NULL",IFERROR(VLOOKUP(TRIM(J304),Lookup_PropertyType!$A:$B,2,FALSE()),"other"))</f>
        <v>apartment</v>
      </c>
      <c r="P304">
        <f t="shared" si="4"/>
        <v>0</v>
      </c>
    </row>
    <row r="305" spans="1:16" ht="15.75" customHeight="1" x14ac:dyDescent="0.35">
      <c r="A305" s="13">
        <v>304</v>
      </c>
      <c r="B305" s="14">
        <v>45800</v>
      </c>
      <c r="C305" s="15"/>
      <c r="D305" s="16" t="s">
        <v>49</v>
      </c>
      <c r="E305" s="17">
        <v>5500</v>
      </c>
      <c r="F305" s="18"/>
      <c r="G305" s="18"/>
      <c r="H305" s="19">
        <v>180000</v>
      </c>
      <c r="I305" s="19">
        <v>30000</v>
      </c>
      <c r="J305" s="20" t="s">
        <v>37</v>
      </c>
      <c r="K305" s="13">
        <v>44</v>
      </c>
      <c r="L305" s="21" t="s">
        <v>59</v>
      </c>
      <c r="M305" s="21" t="s">
        <v>54</v>
      </c>
      <c r="N305" s="16" t="s">
        <v>42</v>
      </c>
      <c r="O305" t="str">
        <f>IF(TRIM(J305)="","NULL",IFERROR(VLOOKUP(TRIM(J305),Lookup_PropertyType!$A:$B,2,FALSE()),"other"))</f>
        <v>house</v>
      </c>
      <c r="P305">
        <f t="shared" si="4"/>
        <v>0</v>
      </c>
    </row>
    <row r="306" spans="1:16" ht="15.75" customHeight="1" x14ac:dyDescent="0.35">
      <c r="A306" s="13">
        <v>305</v>
      </c>
      <c r="B306" s="14">
        <v>45736</v>
      </c>
      <c r="C306" s="14">
        <v>45785</v>
      </c>
      <c r="D306" s="16" t="s">
        <v>32</v>
      </c>
      <c r="E306" s="17">
        <v>22350</v>
      </c>
      <c r="F306" s="18"/>
      <c r="G306" s="18"/>
      <c r="H306" s="19">
        <v>700000</v>
      </c>
      <c r="I306" s="19">
        <v>300000</v>
      </c>
      <c r="J306" s="20" t="s">
        <v>33</v>
      </c>
      <c r="K306" s="13">
        <v>59</v>
      </c>
      <c r="L306" s="21" t="s">
        <v>38</v>
      </c>
      <c r="M306" s="21" t="s">
        <v>39</v>
      </c>
      <c r="N306" s="16" t="s">
        <v>43</v>
      </c>
      <c r="O306" t="str">
        <f>IF(TRIM(J306)="","NULL",IFERROR(VLOOKUP(TRIM(J306),Lookup_PropertyType!$A:$B,2,FALSE()),"other"))</f>
        <v>apartment</v>
      </c>
      <c r="P306">
        <f t="shared" si="4"/>
        <v>1</v>
      </c>
    </row>
    <row r="307" spans="1:16" ht="15.75" customHeight="1" x14ac:dyDescent="0.35">
      <c r="A307" s="13">
        <v>306</v>
      </c>
      <c r="B307" s="14">
        <v>45738</v>
      </c>
      <c r="C307" s="14">
        <v>45887</v>
      </c>
      <c r="D307" s="16" t="s">
        <v>49</v>
      </c>
      <c r="E307" s="17">
        <v>15000</v>
      </c>
      <c r="F307" s="18"/>
      <c r="G307" s="18"/>
      <c r="H307" s="19">
        <v>200000</v>
      </c>
      <c r="I307" s="19">
        <v>80000</v>
      </c>
      <c r="J307" s="20" t="s">
        <v>37</v>
      </c>
      <c r="K307" s="13">
        <v>53</v>
      </c>
      <c r="L307" s="21" t="s">
        <v>64</v>
      </c>
      <c r="M307" s="21" t="s">
        <v>39</v>
      </c>
      <c r="N307" s="16" t="s">
        <v>36</v>
      </c>
      <c r="O307" t="str">
        <f>IF(TRIM(J307)="","NULL",IFERROR(VLOOKUP(TRIM(J307),Lookup_PropertyType!$A:$B,2,FALSE()),"other"))</f>
        <v>house</v>
      </c>
      <c r="P307">
        <f t="shared" si="4"/>
        <v>1</v>
      </c>
    </row>
    <row r="308" spans="1:16" ht="15.75" customHeight="1" x14ac:dyDescent="0.35">
      <c r="A308" s="13">
        <v>307</v>
      </c>
      <c r="B308" s="14">
        <v>45750</v>
      </c>
      <c r="C308" s="14">
        <v>45787</v>
      </c>
      <c r="D308" s="16" t="s">
        <v>32</v>
      </c>
      <c r="E308" s="17">
        <v>17700</v>
      </c>
      <c r="F308" s="18"/>
      <c r="G308" s="18"/>
      <c r="H308" s="19">
        <v>550000</v>
      </c>
      <c r="I308" s="19">
        <v>220000</v>
      </c>
      <c r="J308" s="20" t="s">
        <v>37</v>
      </c>
      <c r="K308" s="13">
        <v>41</v>
      </c>
      <c r="L308" s="21" t="s">
        <v>38</v>
      </c>
      <c r="M308" s="21" t="s">
        <v>39</v>
      </c>
      <c r="N308" s="16" t="s">
        <v>42</v>
      </c>
      <c r="O308" t="str">
        <f>IF(TRIM(J308)="","NULL",IFERROR(VLOOKUP(TRIM(J308),Lookup_PropertyType!$A:$B,2,FALSE()),"other"))</f>
        <v>house</v>
      </c>
      <c r="P308">
        <f t="shared" si="4"/>
        <v>1</v>
      </c>
    </row>
    <row r="309" spans="1:16" ht="15.75" customHeight="1" x14ac:dyDescent="0.35">
      <c r="A309" s="13">
        <v>308</v>
      </c>
      <c r="B309" s="14">
        <v>45774</v>
      </c>
      <c r="C309" s="15"/>
      <c r="D309" s="16" t="s">
        <v>32</v>
      </c>
      <c r="E309" s="17">
        <v>3900</v>
      </c>
      <c r="F309" s="18"/>
      <c r="G309" s="18"/>
      <c r="H309" s="19">
        <v>220000</v>
      </c>
      <c r="I309" s="19">
        <v>60000</v>
      </c>
      <c r="J309" s="20" t="s">
        <v>37</v>
      </c>
      <c r="K309" s="13">
        <v>51</v>
      </c>
      <c r="L309" s="21" t="s">
        <v>38</v>
      </c>
      <c r="M309" s="21" t="s">
        <v>39</v>
      </c>
      <c r="N309" s="16" t="s">
        <v>42</v>
      </c>
      <c r="O309" t="str">
        <f>IF(TRIM(J309)="","NULL",IFERROR(VLOOKUP(TRIM(J309),Lookup_PropertyType!$A:$B,2,FALSE()),"other"))</f>
        <v>house</v>
      </c>
      <c r="P309">
        <f t="shared" si="4"/>
        <v>0</v>
      </c>
    </row>
    <row r="310" spans="1:16" ht="15.75" customHeight="1" x14ac:dyDescent="0.35">
      <c r="A310" s="13">
        <v>309</v>
      </c>
      <c r="B310" s="14">
        <v>45793</v>
      </c>
      <c r="C310" s="14">
        <v>45864</v>
      </c>
      <c r="D310" s="16" t="s">
        <v>32</v>
      </c>
      <c r="E310" s="17">
        <v>8000</v>
      </c>
      <c r="F310" s="18"/>
      <c r="G310" s="18"/>
      <c r="H310" s="19">
        <v>230000</v>
      </c>
      <c r="I310" s="19">
        <v>100000</v>
      </c>
      <c r="J310" s="20" t="s">
        <v>37</v>
      </c>
      <c r="K310" s="13">
        <v>47</v>
      </c>
      <c r="L310" s="21" t="s">
        <v>59</v>
      </c>
      <c r="M310" s="21" t="s">
        <v>39</v>
      </c>
      <c r="N310" s="16" t="s">
        <v>51</v>
      </c>
      <c r="O310" t="str">
        <f>IF(TRIM(J310)="","NULL",IFERROR(VLOOKUP(TRIM(J310),Lookup_PropertyType!$A:$B,2,FALSE()),"other"))</f>
        <v>house</v>
      </c>
      <c r="P310">
        <f t="shared" si="4"/>
        <v>1</v>
      </c>
    </row>
    <row r="311" spans="1:16" ht="15.75" customHeight="1" x14ac:dyDescent="0.35">
      <c r="A311" s="13">
        <v>310</v>
      </c>
      <c r="B311" s="14">
        <v>45773</v>
      </c>
      <c r="C311" s="15"/>
      <c r="D311" s="16" t="s">
        <v>58</v>
      </c>
      <c r="E311" s="17">
        <v>8500</v>
      </c>
      <c r="F311" s="18"/>
      <c r="G311" s="18"/>
      <c r="H311" s="19">
        <v>250000</v>
      </c>
      <c r="I311" s="19">
        <v>80000</v>
      </c>
      <c r="J311" s="20" t="s">
        <v>37</v>
      </c>
      <c r="K311" s="13">
        <v>36</v>
      </c>
      <c r="L311" s="21" t="s">
        <v>59</v>
      </c>
      <c r="M311" s="21" t="s">
        <v>39</v>
      </c>
      <c r="N311" s="16" t="s">
        <v>42</v>
      </c>
      <c r="O311" t="str">
        <f>IF(TRIM(J311)="","NULL",IFERROR(VLOOKUP(TRIM(J311),Lookup_PropertyType!$A:$B,2,FALSE()),"other"))</f>
        <v>house</v>
      </c>
      <c r="P311">
        <f t="shared" si="4"/>
        <v>0</v>
      </c>
    </row>
    <row r="312" spans="1:16" ht="15.75" customHeight="1" x14ac:dyDescent="0.35">
      <c r="A312" s="13">
        <v>311</v>
      </c>
      <c r="B312" s="14">
        <v>45738</v>
      </c>
      <c r="C312" s="14">
        <v>45793</v>
      </c>
      <c r="D312" s="16" t="s">
        <v>32</v>
      </c>
      <c r="E312" s="17">
        <v>3400</v>
      </c>
      <c r="F312" s="18"/>
      <c r="G312" s="18"/>
      <c r="H312" s="19">
        <v>320000</v>
      </c>
      <c r="I312" s="19">
        <v>50000</v>
      </c>
      <c r="J312" s="20" t="s">
        <v>33</v>
      </c>
      <c r="K312" s="13">
        <v>54</v>
      </c>
      <c r="L312" s="21" t="s">
        <v>45</v>
      </c>
      <c r="M312" s="21" t="s">
        <v>39</v>
      </c>
      <c r="N312" s="16" t="s">
        <v>48</v>
      </c>
      <c r="O312" t="str">
        <f>IF(TRIM(J312)="","NULL",IFERROR(VLOOKUP(TRIM(J312),Lookup_PropertyType!$A:$B,2,FALSE()),"other"))</f>
        <v>apartment</v>
      </c>
      <c r="P312">
        <f t="shared" si="4"/>
        <v>1</v>
      </c>
    </row>
    <row r="313" spans="1:16" ht="15.75" customHeight="1" x14ac:dyDescent="0.35">
      <c r="A313" s="13">
        <v>312</v>
      </c>
      <c r="B313" s="14">
        <v>46048</v>
      </c>
      <c r="C313" s="15"/>
      <c r="D313" s="16" t="s">
        <v>32</v>
      </c>
      <c r="E313" s="17">
        <v>6500</v>
      </c>
      <c r="F313" s="13">
        <v>180</v>
      </c>
      <c r="G313" s="18"/>
      <c r="H313" s="19">
        <v>320000</v>
      </c>
      <c r="I313" s="20"/>
      <c r="J313" s="20"/>
      <c r="K313" s="13">
        <v>37</v>
      </c>
      <c r="L313" s="21"/>
      <c r="M313" s="21"/>
      <c r="N313" s="16"/>
      <c r="O313" t="str">
        <f>IF(TRIM(J313)="","NULL",IFERROR(VLOOKUP(TRIM(J313),Lookup_PropertyType!$A:$B,2,FALSE()),"other"))</f>
        <v>NULL</v>
      </c>
      <c r="P313">
        <f t="shared" si="4"/>
        <v>0</v>
      </c>
    </row>
    <row r="314" spans="1:16" ht="15.75" customHeight="1" x14ac:dyDescent="0.35">
      <c r="A314" s="13">
        <v>313</v>
      </c>
      <c r="B314" s="14">
        <v>45753</v>
      </c>
      <c r="C314" s="14">
        <v>45801</v>
      </c>
      <c r="D314" s="16" t="s">
        <v>32</v>
      </c>
      <c r="E314" s="17">
        <v>8000</v>
      </c>
      <c r="F314" s="18"/>
      <c r="G314" s="18"/>
      <c r="H314" s="19">
        <v>600000</v>
      </c>
      <c r="I314" s="19">
        <v>100000</v>
      </c>
      <c r="J314" s="20" t="s">
        <v>37</v>
      </c>
      <c r="K314" s="13">
        <v>57</v>
      </c>
      <c r="L314" s="21" t="s">
        <v>45</v>
      </c>
      <c r="M314" s="21" t="s">
        <v>72</v>
      </c>
      <c r="N314" s="16" t="s">
        <v>40</v>
      </c>
      <c r="O314" t="str">
        <f>IF(TRIM(J314)="","NULL",IFERROR(VLOOKUP(TRIM(J314),Lookup_PropertyType!$A:$B,2,FALSE()),"other"))</f>
        <v>house</v>
      </c>
      <c r="P314">
        <f t="shared" si="4"/>
        <v>1</v>
      </c>
    </row>
    <row r="315" spans="1:16" ht="15.75" customHeight="1" x14ac:dyDescent="0.35">
      <c r="A315" s="13">
        <v>314</v>
      </c>
      <c r="B315" s="14">
        <v>45773</v>
      </c>
      <c r="C315" s="15"/>
      <c r="D315" s="16" t="s">
        <v>58</v>
      </c>
      <c r="E315" s="17">
        <v>15000</v>
      </c>
      <c r="F315" s="18"/>
      <c r="G315" s="18"/>
      <c r="H315" s="19">
        <v>650000</v>
      </c>
      <c r="I315" s="19">
        <v>300000</v>
      </c>
      <c r="J315" s="20" t="s">
        <v>33</v>
      </c>
      <c r="K315" s="13">
        <v>57</v>
      </c>
      <c r="L315" s="21" t="s">
        <v>45</v>
      </c>
      <c r="M315" s="21" t="s">
        <v>48</v>
      </c>
      <c r="N315" s="16" t="s">
        <v>36</v>
      </c>
      <c r="O315" t="str">
        <f>IF(TRIM(J315)="","NULL",IFERROR(VLOOKUP(TRIM(J315),Lookup_PropertyType!$A:$B,2,FALSE()),"other"))</f>
        <v>apartment</v>
      </c>
      <c r="P315">
        <f t="shared" si="4"/>
        <v>0</v>
      </c>
    </row>
    <row r="316" spans="1:16" ht="15.75" customHeight="1" x14ac:dyDescent="0.35">
      <c r="A316" s="13">
        <v>315</v>
      </c>
      <c r="B316" s="14">
        <v>45752</v>
      </c>
      <c r="C316" s="15"/>
      <c r="D316" s="16" t="s">
        <v>32</v>
      </c>
      <c r="E316" s="17">
        <v>11200</v>
      </c>
      <c r="F316" s="18"/>
      <c r="G316" s="18"/>
      <c r="H316" s="19">
        <v>550000</v>
      </c>
      <c r="I316" s="19">
        <v>100000</v>
      </c>
      <c r="J316" s="20" t="s">
        <v>37</v>
      </c>
      <c r="K316" s="13">
        <v>71</v>
      </c>
      <c r="L316" s="21" t="s">
        <v>38</v>
      </c>
      <c r="M316" s="21" t="s">
        <v>39</v>
      </c>
      <c r="N316" s="16" t="s">
        <v>43</v>
      </c>
      <c r="O316" t="str">
        <f>IF(TRIM(J316)="","NULL",IFERROR(VLOOKUP(TRIM(J316),Lookup_PropertyType!$A:$B,2,FALSE()),"other"))</f>
        <v>house</v>
      </c>
      <c r="P316">
        <f t="shared" si="4"/>
        <v>0</v>
      </c>
    </row>
    <row r="317" spans="1:16" ht="15.75" customHeight="1" x14ac:dyDescent="0.35">
      <c r="A317" s="13">
        <v>316</v>
      </c>
      <c r="B317" s="14">
        <v>45775</v>
      </c>
      <c r="C317" s="15"/>
      <c r="D317" s="16" t="s">
        <v>32</v>
      </c>
      <c r="E317" s="17">
        <v>30000</v>
      </c>
      <c r="F317" s="18"/>
      <c r="G317" s="18"/>
      <c r="H317" s="19">
        <v>1800000</v>
      </c>
      <c r="I317" s="19">
        <v>750000</v>
      </c>
      <c r="J317" s="20" t="s">
        <v>33</v>
      </c>
      <c r="K317" s="13">
        <v>37</v>
      </c>
      <c r="L317" s="21" t="s">
        <v>34</v>
      </c>
      <c r="M317" s="21" t="s">
        <v>39</v>
      </c>
      <c r="N317" s="16" t="s">
        <v>36</v>
      </c>
      <c r="O317" t="str">
        <f>IF(TRIM(J317)="","NULL",IFERROR(VLOOKUP(TRIM(J317),Lookup_PropertyType!$A:$B,2,FALSE()),"other"))</f>
        <v>apartment</v>
      </c>
      <c r="P317">
        <f t="shared" si="4"/>
        <v>0</v>
      </c>
    </row>
    <row r="318" spans="1:16" ht="15.75" customHeight="1" x14ac:dyDescent="0.35">
      <c r="A318" s="13">
        <v>317</v>
      </c>
      <c r="B318" s="14">
        <v>45809</v>
      </c>
      <c r="C318" s="14">
        <v>45830</v>
      </c>
      <c r="D318" s="16" t="s">
        <v>32</v>
      </c>
      <c r="E318" s="17">
        <v>14000</v>
      </c>
      <c r="F318" s="18"/>
      <c r="G318" s="18"/>
      <c r="H318" s="19">
        <v>250000</v>
      </c>
      <c r="I318" s="19">
        <v>130000</v>
      </c>
      <c r="J318" s="20" t="s">
        <v>37</v>
      </c>
      <c r="K318" s="13">
        <v>54</v>
      </c>
      <c r="L318" s="21" t="s">
        <v>38</v>
      </c>
      <c r="M318" s="21" t="s">
        <v>35</v>
      </c>
      <c r="N318" s="16" t="s">
        <v>36</v>
      </c>
      <c r="O318" t="str">
        <f>IF(TRIM(J318)="","NULL",IFERROR(VLOOKUP(TRIM(J318),Lookup_PropertyType!$A:$B,2,FALSE()),"other"))</f>
        <v>house</v>
      </c>
      <c r="P318">
        <f t="shared" si="4"/>
        <v>1</v>
      </c>
    </row>
    <row r="319" spans="1:16" ht="15.75" customHeight="1" x14ac:dyDescent="0.35">
      <c r="A319" s="13">
        <v>318</v>
      </c>
      <c r="B319" s="14">
        <v>45779</v>
      </c>
      <c r="C319" s="15"/>
      <c r="D319" s="16" t="s">
        <v>32</v>
      </c>
      <c r="E319" s="17">
        <v>5000</v>
      </c>
      <c r="F319" s="18"/>
      <c r="G319" s="18"/>
      <c r="H319" s="19">
        <v>350000</v>
      </c>
      <c r="I319" s="19">
        <v>30000</v>
      </c>
      <c r="J319" s="20" t="s">
        <v>37</v>
      </c>
      <c r="K319" s="13">
        <v>52</v>
      </c>
      <c r="L319" s="21" t="s">
        <v>45</v>
      </c>
      <c r="M319" s="21" t="s">
        <v>35</v>
      </c>
      <c r="N319" s="16" t="s">
        <v>51</v>
      </c>
      <c r="O319" t="str">
        <f>IF(TRIM(J319)="","NULL",IFERROR(VLOOKUP(TRIM(J319),Lookup_PropertyType!$A:$B,2,FALSE()),"other"))</f>
        <v>house</v>
      </c>
      <c r="P319">
        <f t="shared" si="4"/>
        <v>0</v>
      </c>
    </row>
    <row r="320" spans="1:16" ht="15.75" customHeight="1" x14ac:dyDescent="0.35">
      <c r="A320" s="13">
        <v>319</v>
      </c>
      <c r="B320" s="14">
        <v>45831</v>
      </c>
      <c r="C320" s="14">
        <v>45885</v>
      </c>
      <c r="D320" s="16" t="s">
        <v>58</v>
      </c>
      <c r="E320" s="17">
        <v>15000</v>
      </c>
      <c r="F320" s="18"/>
      <c r="G320" s="18"/>
      <c r="H320" s="19">
        <v>750000</v>
      </c>
      <c r="I320" s="19">
        <v>200000</v>
      </c>
      <c r="J320" s="20" t="s">
        <v>33</v>
      </c>
      <c r="K320" s="13">
        <v>41</v>
      </c>
      <c r="L320" s="21" t="s">
        <v>34</v>
      </c>
      <c r="M320" s="21" t="s">
        <v>39</v>
      </c>
      <c r="N320" s="16" t="s">
        <v>36</v>
      </c>
      <c r="O320" t="str">
        <f>IF(TRIM(J320)="","NULL",IFERROR(VLOOKUP(TRIM(J320),Lookup_PropertyType!$A:$B,2,FALSE()),"other"))</f>
        <v>apartment</v>
      </c>
      <c r="P320">
        <f t="shared" si="4"/>
        <v>1</v>
      </c>
    </row>
    <row r="321" spans="1:16" ht="15.75" customHeight="1" x14ac:dyDescent="0.35">
      <c r="A321" s="13">
        <v>320</v>
      </c>
      <c r="B321" s="14">
        <v>45767</v>
      </c>
      <c r="C321" s="15"/>
      <c r="D321" s="16" t="s">
        <v>77</v>
      </c>
      <c r="E321" s="17">
        <v>11000</v>
      </c>
      <c r="F321" s="18"/>
      <c r="G321" s="18"/>
      <c r="H321" s="19">
        <v>210000</v>
      </c>
      <c r="I321" s="19">
        <v>100000</v>
      </c>
      <c r="J321" s="20" t="s">
        <v>33</v>
      </c>
      <c r="K321" s="13">
        <v>65</v>
      </c>
      <c r="L321" s="21" t="s">
        <v>38</v>
      </c>
      <c r="M321" s="21" t="s">
        <v>48</v>
      </c>
      <c r="N321" s="16" t="s">
        <v>43</v>
      </c>
      <c r="O321" t="str">
        <f>IF(TRIM(J321)="","NULL",IFERROR(VLOOKUP(TRIM(J321),Lookup_PropertyType!$A:$B,2,FALSE()),"other"))</f>
        <v>apartment</v>
      </c>
      <c r="P321">
        <f t="shared" si="4"/>
        <v>0</v>
      </c>
    </row>
    <row r="322" spans="1:16" ht="15.75" customHeight="1" x14ac:dyDescent="0.35">
      <c r="A322" s="13">
        <v>321</v>
      </c>
      <c r="B322" s="14">
        <v>45810</v>
      </c>
      <c r="C322" s="14">
        <v>45900</v>
      </c>
      <c r="D322" s="16" t="s">
        <v>58</v>
      </c>
      <c r="E322" s="17">
        <v>20000</v>
      </c>
      <c r="F322" s="18"/>
      <c r="G322" s="18"/>
      <c r="H322" s="19">
        <v>750000</v>
      </c>
      <c r="I322" s="19">
        <v>160000</v>
      </c>
      <c r="J322" s="20" t="s">
        <v>53</v>
      </c>
      <c r="K322" s="13">
        <v>54</v>
      </c>
      <c r="L322" s="21" t="s">
        <v>38</v>
      </c>
      <c r="M322" s="21" t="s">
        <v>39</v>
      </c>
      <c r="N322" s="16" t="s">
        <v>48</v>
      </c>
      <c r="O322" t="str">
        <f>IF(TRIM(J322)="","NULL",IFERROR(VLOOKUP(TRIM(J322),Lookup_PropertyType!$A:$B,2,FALSE()),"other"))</f>
        <v>other</v>
      </c>
      <c r="P322">
        <f t="shared" ref="P322:P385" si="5">IF(AND(C322&lt;&gt;"",C322&gt;=B322),1,0)</f>
        <v>1</v>
      </c>
    </row>
    <row r="323" spans="1:16" ht="15.75" customHeight="1" x14ac:dyDescent="0.35">
      <c r="A323" s="13">
        <v>322</v>
      </c>
      <c r="B323" s="14">
        <v>45746</v>
      </c>
      <c r="C323" s="15"/>
      <c r="D323" s="16" t="s">
        <v>44</v>
      </c>
      <c r="E323" s="17">
        <v>6580</v>
      </c>
      <c r="F323" s="18"/>
      <c r="G323" s="18"/>
      <c r="H323" s="19">
        <v>185000</v>
      </c>
      <c r="I323" s="19">
        <v>30000</v>
      </c>
      <c r="J323" s="20" t="s">
        <v>33</v>
      </c>
      <c r="K323" s="13">
        <v>37</v>
      </c>
      <c r="L323" s="21" t="s">
        <v>38</v>
      </c>
      <c r="M323" s="21" t="s">
        <v>39</v>
      </c>
      <c r="N323" s="16" t="s">
        <v>42</v>
      </c>
      <c r="O323" t="str">
        <f>IF(TRIM(J323)="","NULL",IFERROR(VLOOKUP(TRIM(J323),Lookup_PropertyType!$A:$B,2,FALSE()),"other"))</f>
        <v>apartment</v>
      </c>
      <c r="P323">
        <f t="shared" si="5"/>
        <v>0</v>
      </c>
    </row>
    <row r="324" spans="1:16" ht="15.75" customHeight="1" x14ac:dyDescent="0.35">
      <c r="A324" s="13">
        <v>323</v>
      </c>
      <c r="B324" s="14">
        <v>45817</v>
      </c>
      <c r="C324" s="15"/>
      <c r="D324" s="16" t="s">
        <v>57</v>
      </c>
      <c r="E324" s="17">
        <v>5500</v>
      </c>
      <c r="F324" s="18"/>
      <c r="G324" s="18"/>
      <c r="H324" s="19">
        <v>350000</v>
      </c>
      <c r="I324" s="19">
        <v>80000</v>
      </c>
      <c r="J324" s="20" t="s">
        <v>33</v>
      </c>
      <c r="K324" s="13">
        <v>49</v>
      </c>
      <c r="L324" s="21" t="s">
        <v>45</v>
      </c>
      <c r="M324" s="21" t="s">
        <v>54</v>
      </c>
      <c r="N324" s="16" t="s">
        <v>50</v>
      </c>
      <c r="O324" t="str">
        <f>IF(TRIM(J324)="","NULL",IFERROR(VLOOKUP(TRIM(J324),Lookup_PropertyType!$A:$B,2,FALSE()),"other"))</f>
        <v>apartment</v>
      </c>
      <c r="P324">
        <f t="shared" si="5"/>
        <v>0</v>
      </c>
    </row>
    <row r="325" spans="1:16" ht="15.75" customHeight="1" x14ac:dyDescent="0.35">
      <c r="A325" s="13">
        <v>324</v>
      </c>
      <c r="B325" s="14">
        <v>45793</v>
      </c>
      <c r="C325" s="15"/>
      <c r="D325" s="16" t="s">
        <v>32</v>
      </c>
      <c r="E325" s="17">
        <v>30000</v>
      </c>
      <c r="F325" s="18"/>
      <c r="G325" s="18"/>
      <c r="H325" s="19">
        <v>1600000</v>
      </c>
      <c r="I325" s="19">
        <v>500000</v>
      </c>
      <c r="J325" s="20" t="s">
        <v>60</v>
      </c>
      <c r="K325" s="13">
        <v>70</v>
      </c>
      <c r="L325" s="21" t="s">
        <v>41</v>
      </c>
      <c r="M325" s="21" t="s">
        <v>39</v>
      </c>
      <c r="N325" s="16" t="s">
        <v>36</v>
      </c>
      <c r="O325" t="str">
        <f>IF(TRIM(J325)="","NULL",IFERROR(VLOOKUP(TRIM(J325),Lookup_PropertyType!$A:$B,2,FALSE()),"other"))</f>
        <v>other</v>
      </c>
      <c r="P325">
        <f t="shared" si="5"/>
        <v>0</v>
      </c>
    </row>
    <row r="326" spans="1:16" ht="15.75" customHeight="1" x14ac:dyDescent="0.35">
      <c r="A326" s="13">
        <v>325</v>
      </c>
      <c r="B326" s="14">
        <v>45745</v>
      </c>
      <c r="C326" s="15"/>
      <c r="D326" s="16" t="s">
        <v>46</v>
      </c>
      <c r="E326" s="17">
        <v>12000</v>
      </c>
      <c r="F326" s="18"/>
      <c r="G326" s="18"/>
      <c r="H326" s="19">
        <v>250000</v>
      </c>
      <c r="I326" s="19">
        <v>50000</v>
      </c>
      <c r="J326" s="20" t="s">
        <v>33</v>
      </c>
      <c r="K326" s="13">
        <v>38</v>
      </c>
      <c r="L326" s="21" t="s">
        <v>38</v>
      </c>
      <c r="M326" s="21" t="s">
        <v>54</v>
      </c>
      <c r="N326" s="16" t="s">
        <v>36</v>
      </c>
      <c r="O326" t="str">
        <f>IF(TRIM(J326)="","NULL",IFERROR(VLOOKUP(TRIM(J326),Lookup_PropertyType!$A:$B,2,FALSE()),"other"))</f>
        <v>apartment</v>
      </c>
      <c r="P326">
        <f t="shared" si="5"/>
        <v>0</v>
      </c>
    </row>
    <row r="327" spans="1:16" ht="15.75" customHeight="1" x14ac:dyDescent="0.35">
      <c r="A327" s="13">
        <v>326</v>
      </c>
      <c r="B327" s="14">
        <v>45781</v>
      </c>
      <c r="C327" s="15"/>
      <c r="D327" s="16" t="s">
        <v>44</v>
      </c>
      <c r="E327" s="17">
        <v>7000</v>
      </c>
      <c r="F327" s="18"/>
      <c r="G327" s="18"/>
      <c r="H327" s="19">
        <v>350000</v>
      </c>
      <c r="I327" s="19">
        <v>120000</v>
      </c>
      <c r="J327" s="20" t="s">
        <v>37</v>
      </c>
      <c r="K327" s="13">
        <v>66</v>
      </c>
      <c r="L327" s="21" t="s">
        <v>38</v>
      </c>
      <c r="M327" s="21" t="s">
        <v>39</v>
      </c>
      <c r="N327" s="16" t="s">
        <v>43</v>
      </c>
      <c r="O327" t="str">
        <f>IF(TRIM(J327)="","NULL",IFERROR(VLOOKUP(TRIM(J327),Lookup_PropertyType!$A:$B,2,FALSE()),"other"))</f>
        <v>house</v>
      </c>
      <c r="P327">
        <f t="shared" si="5"/>
        <v>0</v>
      </c>
    </row>
    <row r="328" spans="1:16" ht="15.75" customHeight="1" x14ac:dyDescent="0.35">
      <c r="A328" s="13">
        <v>327</v>
      </c>
      <c r="B328" s="14">
        <v>45786</v>
      </c>
      <c r="C328" s="14">
        <v>45752</v>
      </c>
      <c r="D328" s="16" t="s">
        <v>32</v>
      </c>
      <c r="E328" s="17">
        <v>8000</v>
      </c>
      <c r="F328" s="18"/>
      <c r="G328" s="18"/>
      <c r="H328" s="19">
        <v>650000</v>
      </c>
      <c r="I328" s="19">
        <v>75000</v>
      </c>
      <c r="J328" s="20" t="s">
        <v>37</v>
      </c>
      <c r="K328" s="13">
        <v>63</v>
      </c>
      <c r="L328" s="21" t="s">
        <v>38</v>
      </c>
      <c r="M328" s="21" t="s">
        <v>39</v>
      </c>
      <c r="N328" s="16" t="s">
        <v>36</v>
      </c>
      <c r="O328" t="str">
        <f>IF(TRIM(J328)="","NULL",IFERROR(VLOOKUP(TRIM(J328),Lookup_PropertyType!$A:$B,2,FALSE()),"other"))</f>
        <v>house</v>
      </c>
      <c r="P328">
        <f t="shared" si="5"/>
        <v>0</v>
      </c>
    </row>
    <row r="329" spans="1:16" ht="15.75" customHeight="1" x14ac:dyDescent="0.35">
      <c r="A329" s="13">
        <v>328</v>
      </c>
      <c r="B329" s="14">
        <v>45745</v>
      </c>
      <c r="C329" s="15"/>
      <c r="D329" s="16" t="s">
        <v>32</v>
      </c>
      <c r="E329" s="17">
        <v>8600</v>
      </c>
      <c r="F329" s="18"/>
      <c r="G329" s="18"/>
      <c r="H329" s="19">
        <v>330000</v>
      </c>
      <c r="I329" s="19">
        <v>150000</v>
      </c>
      <c r="J329" s="20" t="s">
        <v>33</v>
      </c>
      <c r="K329" s="13">
        <v>68</v>
      </c>
      <c r="L329" s="21" t="s">
        <v>59</v>
      </c>
      <c r="M329" s="21" t="s">
        <v>35</v>
      </c>
      <c r="N329" s="16" t="s">
        <v>51</v>
      </c>
      <c r="O329" t="str">
        <f>IF(TRIM(J329)="","NULL",IFERROR(VLOOKUP(TRIM(J329),Lookup_PropertyType!$A:$B,2,FALSE()),"other"))</f>
        <v>apartment</v>
      </c>
      <c r="P329">
        <f t="shared" si="5"/>
        <v>0</v>
      </c>
    </row>
    <row r="330" spans="1:16" ht="15.75" customHeight="1" x14ac:dyDescent="0.35">
      <c r="A330" s="13">
        <v>329</v>
      </c>
      <c r="B330" s="14">
        <v>45851</v>
      </c>
      <c r="C330" s="14">
        <v>45906</v>
      </c>
      <c r="D330" s="16" t="s">
        <v>65</v>
      </c>
      <c r="E330" s="17">
        <v>6500</v>
      </c>
      <c r="F330" s="18"/>
      <c r="G330" s="18"/>
      <c r="H330" s="19">
        <v>1800000</v>
      </c>
      <c r="I330" s="19">
        <v>120000</v>
      </c>
      <c r="J330" s="20" t="s">
        <v>37</v>
      </c>
      <c r="K330" s="13">
        <v>30</v>
      </c>
      <c r="L330" s="21" t="s">
        <v>38</v>
      </c>
      <c r="M330" s="21" t="s">
        <v>39</v>
      </c>
      <c r="N330" s="16" t="s">
        <v>51</v>
      </c>
      <c r="O330" t="str">
        <f>IF(TRIM(J330)="","NULL",IFERROR(VLOOKUP(TRIM(J330),Lookup_PropertyType!$A:$B,2,FALSE()),"other"))</f>
        <v>house</v>
      </c>
      <c r="P330">
        <f t="shared" si="5"/>
        <v>1</v>
      </c>
    </row>
    <row r="331" spans="1:16" ht="15.75" customHeight="1" x14ac:dyDescent="0.35">
      <c r="A331" s="13">
        <v>330</v>
      </c>
      <c r="B331" s="14">
        <v>45828</v>
      </c>
      <c r="C331" s="15"/>
      <c r="D331" s="16" t="s">
        <v>32</v>
      </c>
      <c r="E331" s="17">
        <v>26000</v>
      </c>
      <c r="F331" s="18"/>
      <c r="G331" s="18"/>
      <c r="H331" s="19">
        <v>1200000</v>
      </c>
      <c r="I331" s="19">
        <v>150000</v>
      </c>
      <c r="J331" s="20" t="s">
        <v>60</v>
      </c>
      <c r="K331" s="13">
        <v>73</v>
      </c>
      <c r="L331" s="21" t="s">
        <v>41</v>
      </c>
      <c r="M331" s="21" t="s">
        <v>39</v>
      </c>
      <c r="N331" s="16" t="s">
        <v>43</v>
      </c>
      <c r="O331" t="str">
        <f>IF(TRIM(J331)="","NULL",IFERROR(VLOOKUP(TRIM(J331),Lookup_PropertyType!$A:$B,2,FALSE()),"other"))</f>
        <v>other</v>
      </c>
      <c r="P331">
        <f t="shared" si="5"/>
        <v>0</v>
      </c>
    </row>
    <row r="332" spans="1:16" ht="15.75" customHeight="1" x14ac:dyDescent="0.35">
      <c r="A332" s="13">
        <v>331</v>
      </c>
      <c r="B332" s="14">
        <v>45766</v>
      </c>
      <c r="C332" s="14">
        <v>45820</v>
      </c>
      <c r="D332" s="16" t="s">
        <v>49</v>
      </c>
      <c r="E332" s="17">
        <v>8500</v>
      </c>
      <c r="F332" s="18"/>
      <c r="G332" s="18"/>
      <c r="H332" s="19">
        <v>480000</v>
      </c>
      <c r="I332" s="19">
        <v>50000</v>
      </c>
      <c r="J332" s="20" t="s">
        <v>33</v>
      </c>
      <c r="K332" s="13">
        <v>54</v>
      </c>
      <c r="L332" s="21" t="s">
        <v>38</v>
      </c>
      <c r="M332" s="21" t="s">
        <v>39</v>
      </c>
      <c r="N332" s="16" t="s">
        <v>42</v>
      </c>
      <c r="O332" t="str">
        <f>IF(TRIM(J332)="","NULL",IFERROR(VLOOKUP(TRIM(J332),Lookup_PropertyType!$A:$B,2,FALSE()),"other"))</f>
        <v>apartment</v>
      </c>
      <c r="P332">
        <f t="shared" si="5"/>
        <v>1</v>
      </c>
    </row>
    <row r="333" spans="1:16" ht="15.75" customHeight="1" x14ac:dyDescent="0.35">
      <c r="A333" s="13">
        <v>332</v>
      </c>
      <c r="B333" s="14">
        <v>45837</v>
      </c>
      <c r="C333" s="14">
        <v>45871</v>
      </c>
      <c r="D333" s="16" t="s">
        <v>32</v>
      </c>
      <c r="E333" s="17">
        <v>12000</v>
      </c>
      <c r="F333" s="18"/>
      <c r="G333" s="18"/>
      <c r="H333" s="19">
        <v>1800000</v>
      </c>
      <c r="I333" s="19">
        <v>160000</v>
      </c>
      <c r="J333" s="20" t="s">
        <v>37</v>
      </c>
      <c r="K333" s="13">
        <v>54</v>
      </c>
      <c r="L333" s="21" t="s">
        <v>34</v>
      </c>
      <c r="M333" s="21" t="s">
        <v>39</v>
      </c>
      <c r="N333" s="16" t="s">
        <v>36</v>
      </c>
      <c r="O333" t="str">
        <f>IF(TRIM(J333)="","NULL",IFERROR(VLOOKUP(TRIM(J333),Lookup_PropertyType!$A:$B,2,FALSE()),"other"))</f>
        <v>house</v>
      </c>
      <c r="P333">
        <f t="shared" si="5"/>
        <v>1</v>
      </c>
    </row>
    <row r="334" spans="1:16" ht="15.75" customHeight="1" x14ac:dyDescent="0.35">
      <c r="A334" s="13">
        <v>333</v>
      </c>
      <c r="B334" s="14">
        <v>45765</v>
      </c>
      <c r="C334" s="14">
        <v>45787</v>
      </c>
      <c r="D334" s="16" t="s">
        <v>49</v>
      </c>
      <c r="E334" s="17">
        <v>10000</v>
      </c>
      <c r="F334" s="18"/>
      <c r="G334" s="18"/>
      <c r="H334" s="19">
        <v>500000</v>
      </c>
      <c r="I334" s="19">
        <v>200000</v>
      </c>
      <c r="J334" s="20" t="s">
        <v>33</v>
      </c>
      <c r="K334" s="13">
        <v>57</v>
      </c>
      <c r="L334" s="21" t="s">
        <v>41</v>
      </c>
      <c r="M334" s="21" t="s">
        <v>39</v>
      </c>
      <c r="N334" s="16" t="s">
        <v>51</v>
      </c>
      <c r="O334" t="str">
        <f>IF(TRIM(J334)="","NULL",IFERROR(VLOOKUP(TRIM(J334),Lookup_PropertyType!$A:$B,2,FALSE()),"other"))</f>
        <v>apartment</v>
      </c>
      <c r="P334">
        <f t="shared" si="5"/>
        <v>1</v>
      </c>
    </row>
    <row r="335" spans="1:16" ht="15.75" customHeight="1" x14ac:dyDescent="0.35">
      <c r="A335" s="13">
        <v>334</v>
      </c>
      <c r="B335" s="14">
        <v>45808</v>
      </c>
      <c r="C335" s="15"/>
      <c r="D335" s="16" t="s">
        <v>58</v>
      </c>
      <c r="E335" s="17">
        <v>23000</v>
      </c>
      <c r="F335" s="18"/>
      <c r="G335" s="18"/>
      <c r="H335" s="19">
        <v>250000</v>
      </c>
      <c r="I335" s="19">
        <v>100000</v>
      </c>
      <c r="J335" s="20" t="s">
        <v>33</v>
      </c>
      <c r="K335" s="13">
        <v>49</v>
      </c>
      <c r="L335" s="21" t="s">
        <v>45</v>
      </c>
      <c r="M335" s="21" t="s">
        <v>39</v>
      </c>
      <c r="N335" s="16" t="s">
        <v>36</v>
      </c>
      <c r="O335" t="str">
        <f>IF(TRIM(J335)="","NULL",IFERROR(VLOOKUP(TRIM(J335),Lookup_PropertyType!$A:$B,2,FALSE()),"other"))</f>
        <v>apartment</v>
      </c>
      <c r="P335">
        <f t="shared" si="5"/>
        <v>0</v>
      </c>
    </row>
    <row r="336" spans="1:16" ht="15.75" customHeight="1" x14ac:dyDescent="0.35">
      <c r="A336" s="13">
        <v>335</v>
      </c>
      <c r="B336" s="14">
        <v>45750</v>
      </c>
      <c r="C336" s="15"/>
      <c r="D336" s="16" t="s">
        <v>32</v>
      </c>
      <c r="E336" s="17">
        <v>10688.61</v>
      </c>
      <c r="F336" s="18"/>
      <c r="G336" s="18"/>
      <c r="H336" s="19">
        <v>250000</v>
      </c>
      <c r="I336" s="19">
        <v>60000</v>
      </c>
      <c r="J336" s="20" t="s">
        <v>33</v>
      </c>
      <c r="K336" s="13">
        <v>49</v>
      </c>
      <c r="L336" s="21" t="s">
        <v>38</v>
      </c>
      <c r="M336" s="21" t="s">
        <v>39</v>
      </c>
      <c r="N336" s="16" t="s">
        <v>42</v>
      </c>
      <c r="O336" t="str">
        <f>IF(TRIM(J336)="","NULL",IFERROR(VLOOKUP(TRIM(J336),Lookup_PropertyType!$A:$B,2,FALSE()),"other"))</f>
        <v>apartment</v>
      </c>
      <c r="P336">
        <f t="shared" si="5"/>
        <v>0</v>
      </c>
    </row>
    <row r="337" spans="1:16" ht="15.75" customHeight="1" x14ac:dyDescent="0.35">
      <c r="A337" s="13">
        <v>336</v>
      </c>
      <c r="B337" s="14">
        <v>45758</v>
      </c>
      <c r="C337" s="14">
        <v>45817</v>
      </c>
      <c r="D337" s="16" t="s">
        <v>32</v>
      </c>
      <c r="E337" s="17">
        <v>5000</v>
      </c>
      <c r="F337" s="18"/>
      <c r="G337" s="18"/>
      <c r="H337" s="19">
        <v>180000</v>
      </c>
      <c r="I337" s="19">
        <v>30000</v>
      </c>
      <c r="J337" s="20" t="s">
        <v>33</v>
      </c>
      <c r="K337" s="13">
        <v>57</v>
      </c>
      <c r="L337" s="21" t="s">
        <v>38</v>
      </c>
      <c r="M337" s="21" t="s">
        <v>35</v>
      </c>
      <c r="N337" s="16" t="s">
        <v>42</v>
      </c>
      <c r="O337" t="str">
        <f>IF(TRIM(J337)="","NULL",IFERROR(VLOOKUP(TRIM(J337),Lookup_PropertyType!$A:$B,2,FALSE()),"other"))</f>
        <v>apartment</v>
      </c>
      <c r="P337">
        <f t="shared" si="5"/>
        <v>1</v>
      </c>
    </row>
    <row r="338" spans="1:16" ht="15.75" customHeight="1" x14ac:dyDescent="0.35">
      <c r="A338" s="13">
        <v>337</v>
      </c>
      <c r="B338" s="14">
        <v>45787</v>
      </c>
      <c r="C338" s="14">
        <v>45806</v>
      </c>
      <c r="D338" s="16" t="s">
        <v>66</v>
      </c>
      <c r="E338" s="17">
        <v>14100</v>
      </c>
      <c r="F338" s="18"/>
      <c r="G338" s="18"/>
      <c r="H338" s="19">
        <v>780000</v>
      </c>
      <c r="I338" s="19">
        <v>200000</v>
      </c>
      <c r="J338" s="20" t="s">
        <v>37</v>
      </c>
      <c r="K338" s="13">
        <v>59</v>
      </c>
      <c r="L338" s="21" t="s">
        <v>38</v>
      </c>
      <c r="M338" s="21" t="s">
        <v>54</v>
      </c>
      <c r="N338" s="16" t="s">
        <v>36</v>
      </c>
      <c r="O338" t="str">
        <f>IF(TRIM(J338)="","NULL",IFERROR(VLOOKUP(TRIM(J338),Lookup_PropertyType!$A:$B,2,FALSE()),"other"))</f>
        <v>house</v>
      </c>
      <c r="P338">
        <f t="shared" si="5"/>
        <v>1</v>
      </c>
    </row>
    <row r="339" spans="1:16" ht="15.75" customHeight="1" x14ac:dyDescent="0.35">
      <c r="A339" s="13">
        <v>338</v>
      </c>
      <c r="B339" s="14">
        <v>45757</v>
      </c>
      <c r="C339" s="15"/>
      <c r="D339" s="16" t="s">
        <v>57</v>
      </c>
      <c r="E339" s="17">
        <v>18000</v>
      </c>
      <c r="F339" s="18"/>
      <c r="G339" s="18"/>
      <c r="H339" s="19">
        <v>650000</v>
      </c>
      <c r="I339" s="19">
        <v>160000</v>
      </c>
      <c r="J339" s="20" t="s">
        <v>37</v>
      </c>
      <c r="K339" s="13">
        <v>57</v>
      </c>
      <c r="L339" s="21" t="s">
        <v>38</v>
      </c>
      <c r="M339" s="21" t="s">
        <v>39</v>
      </c>
      <c r="N339" s="16" t="s">
        <v>50</v>
      </c>
      <c r="O339" t="str">
        <f>IF(TRIM(J339)="","NULL",IFERROR(VLOOKUP(TRIM(J339),Lookup_PropertyType!$A:$B,2,FALSE()),"other"))</f>
        <v>house</v>
      </c>
      <c r="P339">
        <f t="shared" si="5"/>
        <v>0</v>
      </c>
    </row>
    <row r="340" spans="1:16" ht="15.75" customHeight="1" x14ac:dyDescent="0.35">
      <c r="A340" s="13">
        <v>339</v>
      </c>
      <c r="B340" s="14">
        <v>45773</v>
      </c>
      <c r="C340" s="14">
        <v>45794</v>
      </c>
      <c r="D340" s="16" t="s">
        <v>76</v>
      </c>
      <c r="E340" s="17">
        <v>8855</v>
      </c>
      <c r="F340" s="18"/>
      <c r="G340" s="18"/>
      <c r="H340" s="19">
        <v>900000</v>
      </c>
      <c r="I340" s="19">
        <v>50000</v>
      </c>
      <c r="J340" s="20" t="s">
        <v>37</v>
      </c>
      <c r="K340" s="13">
        <v>51</v>
      </c>
      <c r="L340" s="21" t="s">
        <v>38</v>
      </c>
      <c r="M340" s="21" t="s">
        <v>39</v>
      </c>
      <c r="N340" s="16" t="s">
        <v>42</v>
      </c>
      <c r="O340" t="str">
        <f>IF(TRIM(J340)="","NULL",IFERROR(VLOOKUP(TRIM(J340),Lookup_PropertyType!$A:$B,2,FALSE()),"other"))</f>
        <v>house</v>
      </c>
      <c r="P340">
        <f t="shared" si="5"/>
        <v>1</v>
      </c>
    </row>
    <row r="341" spans="1:16" ht="15.75" customHeight="1" x14ac:dyDescent="0.35">
      <c r="A341" s="13">
        <v>340</v>
      </c>
      <c r="B341" s="14">
        <v>45757</v>
      </c>
      <c r="C341" s="15"/>
      <c r="D341" s="16" t="s">
        <v>58</v>
      </c>
      <c r="E341" s="17">
        <v>10100</v>
      </c>
      <c r="F341" s="18"/>
      <c r="G341" s="18"/>
      <c r="H341" s="19">
        <v>500000</v>
      </c>
      <c r="I341" s="19">
        <v>110000</v>
      </c>
      <c r="J341" s="20" t="s">
        <v>33</v>
      </c>
      <c r="K341" s="13">
        <v>43</v>
      </c>
      <c r="L341" s="21" t="s">
        <v>38</v>
      </c>
      <c r="M341" s="21" t="s">
        <v>39</v>
      </c>
      <c r="N341" s="16" t="s">
        <v>42</v>
      </c>
      <c r="O341" t="str">
        <f>IF(TRIM(J341)="","NULL",IFERROR(VLOOKUP(TRIM(J341),Lookup_PropertyType!$A:$B,2,FALSE()),"other"))</f>
        <v>apartment</v>
      </c>
      <c r="P341">
        <f t="shared" si="5"/>
        <v>0</v>
      </c>
    </row>
    <row r="342" spans="1:16" ht="15.75" customHeight="1" x14ac:dyDescent="0.35">
      <c r="A342" s="13">
        <v>341</v>
      </c>
      <c r="B342" s="14">
        <v>45863</v>
      </c>
      <c r="C342" s="15"/>
      <c r="D342" s="16" t="s">
        <v>32</v>
      </c>
      <c r="E342" s="17">
        <v>1020000</v>
      </c>
      <c r="F342" s="18"/>
      <c r="G342" s="18"/>
      <c r="H342" s="19">
        <v>350000</v>
      </c>
      <c r="I342" s="19">
        <v>80000</v>
      </c>
      <c r="J342" s="20" t="s">
        <v>37</v>
      </c>
      <c r="K342" s="13">
        <v>62</v>
      </c>
      <c r="L342" s="21" t="s">
        <v>38</v>
      </c>
      <c r="M342" s="21" t="s">
        <v>39</v>
      </c>
      <c r="N342" s="16" t="s">
        <v>42</v>
      </c>
      <c r="O342" t="str">
        <f>IF(TRIM(J342)="","NULL",IFERROR(VLOOKUP(TRIM(J342),Lookup_PropertyType!$A:$B,2,FALSE()),"other"))</f>
        <v>house</v>
      </c>
      <c r="P342">
        <f t="shared" si="5"/>
        <v>0</v>
      </c>
    </row>
    <row r="343" spans="1:16" ht="15.75" customHeight="1" x14ac:dyDescent="0.35">
      <c r="A343" s="13">
        <v>342</v>
      </c>
      <c r="B343" s="14">
        <v>45780</v>
      </c>
      <c r="C343" s="15"/>
      <c r="D343" s="16" t="s">
        <v>57</v>
      </c>
      <c r="E343" s="17">
        <v>4000</v>
      </c>
      <c r="F343" s="18"/>
      <c r="G343" s="18"/>
      <c r="H343" s="19">
        <v>230000</v>
      </c>
      <c r="I343" s="19">
        <v>80000</v>
      </c>
      <c r="J343" s="20" t="s">
        <v>33</v>
      </c>
      <c r="K343" s="13">
        <v>40</v>
      </c>
      <c r="L343" s="21" t="s">
        <v>38</v>
      </c>
      <c r="M343" s="21" t="s">
        <v>39</v>
      </c>
      <c r="N343" s="16" t="s">
        <v>50</v>
      </c>
      <c r="O343" t="str">
        <f>IF(TRIM(J343)="","NULL",IFERROR(VLOOKUP(TRIM(J343),Lookup_PropertyType!$A:$B,2,FALSE()),"other"))</f>
        <v>apartment</v>
      </c>
      <c r="P343">
        <f t="shared" si="5"/>
        <v>0</v>
      </c>
    </row>
    <row r="344" spans="1:16" ht="15.75" customHeight="1" x14ac:dyDescent="0.35">
      <c r="A344" s="13">
        <v>343</v>
      </c>
      <c r="B344" s="14">
        <v>45775</v>
      </c>
      <c r="C344" s="15"/>
      <c r="D344" s="16" t="s">
        <v>32</v>
      </c>
      <c r="E344" s="17">
        <v>18000</v>
      </c>
      <c r="F344" s="18"/>
      <c r="G344" s="18"/>
      <c r="H344" s="19">
        <v>400000</v>
      </c>
      <c r="I344" s="19">
        <v>90000</v>
      </c>
      <c r="J344" s="20" t="s">
        <v>33</v>
      </c>
      <c r="K344" s="13">
        <v>42</v>
      </c>
      <c r="L344" s="21" t="s">
        <v>64</v>
      </c>
      <c r="M344" s="21" t="s">
        <v>39</v>
      </c>
      <c r="N344" s="16" t="s">
        <v>42</v>
      </c>
      <c r="O344" t="str">
        <f>IF(TRIM(J344)="","NULL",IFERROR(VLOOKUP(TRIM(J344),Lookup_PropertyType!$A:$B,2,FALSE()),"other"))</f>
        <v>apartment</v>
      </c>
      <c r="P344">
        <f t="shared" si="5"/>
        <v>0</v>
      </c>
    </row>
    <row r="345" spans="1:16" ht="15.75" customHeight="1" x14ac:dyDescent="0.35">
      <c r="A345" s="13">
        <v>344</v>
      </c>
      <c r="B345" s="14">
        <v>45786</v>
      </c>
      <c r="C345" s="15"/>
      <c r="D345" s="16" t="s">
        <v>32</v>
      </c>
      <c r="E345" s="17">
        <v>40000</v>
      </c>
      <c r="F345" s="18"/>
      <c r="G345" s="18"/>
      <c r="H345" s="19">
        <v>850000</v>
      </c>
      <c r="I345" s="19">
        <v>350000</v>
      </c>
      <c r="J345" s="20" t="s">
        <v>37</v>
      </c>
      <c r="K345" s="13">
        <v>45</v>
      </c>
      <c r="L345" s="21" t="s">
        <v>38</v>
      </c>
      <c r="M345" s="21" t="s">
        <v>35</v>
      </c>
      <c r="N345" s="16" t="s">
        <v>36</v>
      </c>
      <c r="O345" t="str">
        <f>IF(TRIM(J345)="","NULL",IFERROR(VLOOKUP(TRIM(J345),Lookup_PropertyType!$A:$B,2,FALSE()),"other"))</f>
        <v>house</v>
      </c>
      <c r="P345">
        <f t="shared" si="5"/>
        <v>0</v>
      </c>
    </row>
    <row r="346" spans="1:16" ht="15.75" customHeight="1" x14ac:dyDescent="0.35">
      <c r="A346" s="13">
        <v>345</v>
      </c>
      <c r="B346" s="14">
        <v>45750</v>
      </c>
      <c r="C346" s="15"/>
      <c r="D346" s="16" t="s">
        <v>78</v>
      </c>
      <c r="E346" s="17">
        <v>15000</v>
      </c>
      <c r="F346" s="18"/>
      <c r="G346" s="18"/>
      <c r="H346" s="19">
        <v>480000</v>
      </c>
      <c r="I346" s="19">
        <v>200000</v>
      </c>
      <c r="J346" s="20" t="s">
        <v>33</v>
      </c>
      <c r="K346" s="13">
        <v>66</v>
      </c>
      <c r="L346" s="21" t="s">
        <v>38</v>
      </c>
      <c r="M346" s="21" t="s">
        <v>48</v>
      </c>
      <c r="N346" s="16" t="s">
        <v>43</v>
      </c>
      <c r="O346" t="str">
        <f>IF(TRIM(J346)="","NULL",IFERROR(VLOOKUP(TRIM(J346),Lookup_PropertyType!$A:$B,2,FALSE()),"other"))</f>
        <v>apartment</v>
      </c>
      <c r="P346">
        <f t="shared" si="5"/>
        <v>0</v>
      </c>
    </row>
    <row r="347" spans="1:16" ht="15.75" customHeight="1" x14ac:dyDescent="0.35">
      <c r="A347" s="13">
        <v>346</v>
      </c>
      <c r="B347" s="14">
        <v>45780</v>
      </c>
      <c r="C347" s="15"/>
      <c r="D347" s="16" t="s">
        <v>32</v>
      </c>
      <c r="E347" s="17">
        <v>23000</v>
      </c>
      <c r="F347" s="18"/>
      <c r="G347" s="18"/>
      <c r="H347" s="19">
        <v>400000</v>
      </c>
      <c r="I347" s="19">
        <v>200000</v>
      </c>
      <c r="J347" s="20" t="s">
        <v>33</v>
      </c>
      <c r="K347" s="13">
        <v>59</v>
      </c>
      <c r="L347" s="21" t="s">
        <v>38</v>
      </c>
      <c r="M347" s="21" t="s">
        <v>35</v>
      </c>
      <c r="N347" s="16" t="s">
        <v>36</v>
      </c>
      <c r="O347" t="str">
        <f>IF(TRIM(J347)="","NULL",IFERROR(VLOOKUP(TRIM(J347),Lookup_PropertyType!$A:$B,2,FALSE()),"other"))</f>
        <v>apartment</v>
      </c>
      <c r="P347">
        <f t="shared" si="5"/>
        <v>0</v>
      </c>
    </row>
    <row r="348" spans="1:16" ht="15.75" customHeight="1" x14ac:dyDescent="0.35">
      <c r="A348" s="13">
        <v>347</v>
      </c>
      <c r="B348" s="14">
        <v>45766</v>
      </c>
      <c r="C348" s="15"/>
      <c r="D348" s="16" t="s">
        <v>44</v>
      </c>
      <c r="E348" s="17">
        <v>8000</v>
      </c>
      <c r="F348" s="18"/>
      <c r="G348" s="18"/>
      <c r="H348" s="19">
        <v>750000</v>
      </c>
      <c r="I348" s="19">
        <v>60000</v>
      </c>
      <c r="J348" s="20" t="s">
        <v>37</v>
      </c>
      <c r="K348" s="13">
        <v>38</v>
      </c>
      <c r="L348" s="21" t="s">
        <v>59</v>
      </c>
      <c r="M348" s="21" t="s">
        <v>54</v>
      </c>
      <c r="N348" s="16" t="s">
        <v>42</v>
      </c>
      <c r="O348" t="str">
        <f>IF(TRIM(J348)="","NULL",IFERROR(VLOOKUP(TRIM(J348),Lookup_PropertyType!$A:$B,2,FALSE()),"other"))</f>
        <v>house</v>
      </c>
      <c r="P348">
        <f t="shared" si="5"/>
        <v>0</v>
      </c>
    </row>
    <row r="349" spans="1:16" ht="15.75" customHeight="1" x14ac:dyDescent="0.35">
      <c r="A349" s="13">
        <v>348</v>
      </c>
      <c r="B349" s="14">
        <v>45782</v>
      </c>
      <c r="C349" s="14">
        <v>45904</v>
      </c>
      <c r="D349" s="16" t="s">
        <v>32</v>
      </c>
      <c r="E349" s="17">
        <v>100000</v>
      </c>
      <c r="F349" s="18"/>
      <c r="G349" s="18"/>
      <c r="H349" s="19">
        <v>1000000</v>
      </c>
      <c r="I349" s="19">
        <v>400000</v>
      </c>
      <c r="J349" s="20" t="s">
        <v>33</v>
      </c>
      <c r="K349" s="13">
        <v>48</v>
      </c>
      <c r="L349" s="21" t="s">
        <v>41</v>
      </c>
      <c r="M349" s="21" t="s">
        <v>35</v>
      </c>
      <c r="N349" s="16" t="s">
        <v>36</v>
      </c>
      <c r="O349" t="str">
        <f>IF(TRIM(J349)="","NULL",IFERROR(VLOOKUP(TRIM(J349),Lookup_PropertyType!$A:$B,2,FALSE()),"other"))</f>
        <v>apartment</v>
      </c>
      <c r="P349">
        <f t="shared" si="5"/>
        <v>1</v>
      </c>
    </row>
    <row r="350" spans="1:16" ht="15.75" customHeight="1" x14ac:dyDescent="0.35">
      <c r="A350" s="13">
        <v>349</v>
      </c>
      <c r="B350" s="14">
        <v>45779</v>
      </c>
      <c r="C350" s="15"/>
      <c r="D350" s="16" t="s">
        <v>32</v>
      </c>
      <c r="E350" s="17">
        <v>4500</v>
      </c>
      <c r="F350" s="18"/>
      <c r="G350" s="18"/>
      <c r="H350" s="19">
        <v>200000</v>
      </c>
      <c r="I350" s="19">
        <v>50000</v>
      </c>
      <c r="J350" s="20" t="s">
        <v>37</v>
      </c>
      <c r="K350" s="13">
        <v>43</v>
      </c>
      <c r="L350" s="21" t="s">
        <v>59</v>
      </c>
      <c r="M350" s="21" t="s">
        <v>39</v>
      </c>
      <c r="N350" s="16" t="s">
        <v>42</v>
      </c>
      <c r="O350" t="str">
        <f>IF(TRIM(J350)="","NULL",IFERROR(VLOOKUP(TRIM(J350),Lookup_PropertyType!$A:$B,2,FALSE()),"other"))</f>
        <v>house</v>
      </c>
      <c r="P350">
        <f t="shared" si="5"/>
        <v>0</v>
      </c>
    </row>
    <row r="351" spans="1:16" ht="15.75" customHeight="1" x14ac:dyDescent="0.35">
      <c r="A351" s="13">
        <v>350</v>
      </c>
      <c r="B351" s="14">
        <v>45758</v>
      </c>
      <c r="C351" s="15"/>
      <c r="D351" s="16" t="s">
        <v>32</v>
      </c>
      <c r="E351" s="17">
        <v>7000</v>
      </c>
      <c r="F351" s="18"/>
      <c r="G351" s="18"/>
      <c r="H351" s="19">
        <v>215000</v>
      </c>
      <c r="I351" s="19">
        <v>85000</v>
      </c>
      <c r="J351" s="20" t="s">
        <v>33</v>
      </c>
      <c r="K351" s="13">
        <v>38</v>
      </c>
      <c r="L351" s="21" t="s">
        <v>45</v>
      </c>
      <c r="M351" s="21" t="s">
        <v>39</v>
      </c>
      <c r="N351" s="16" t="s">
        <v>42</v>
      </c>
      <c r="O351" t="str">
        <f>IF(TRIM(J351)="","NULL",IFERROR(VLOOKUP(TRIM(J351),Lookup_PropertyType!$A:$B,2,FALSE()),"other"))</f>
        <v>apartment</v>
      </c>
      <c r="P351">
        <f t="shared" si="5"/>
        <v>0</v>
      </c>
    </row>
    <row r="352" spans="1:16" ht="15.75" customHeight="1" x14ac:dyDescent="0.35">
      <c r="A352" s="13">
        <v>351</v>
      </c>
      <c r="B352" s="14">
        <v>45801</v>
      </c>
      <c r="C352" s="14">
        <v>45845</v>
      </c>
      <c r="D352" s="16" t="s">
        <v>49</v>
      </c>
      <c r="E352" s="17">
        <v>10000</v>
      </c>
      <c r="F352" s="18"/>
      <c r="G352" s="18"/>
      <c r="H352" s="19">
        <v>1000000</v>
      </c>
      <c r="I352" s="19">
        <v>180000</v>
      </c>
      <c r="J352" s="20" t="s">
        <v>37</v>
      </c>
      <c r="K352" s="13">
        <v>54</v>
      </c>
      <c r="L352" s="21" t="s">
        <v>41</v>
      </c>
      <c r="M352" s="21" t="s">
        <v>54</v>
      </c>
      <c r="N352" s="16" t="s">
        <v>36</v>
      </c>
      <c r="O352" t="str">
        <f>IF(TRIM(J352)="","NULL",IFERROR(VLOOKUP(TRIM(J352),Lookup_PropertyType!$A:$B,2,FALSE()),"other"))</f>
        <v>house</v>
      </c>
      <c r="P352">
        <f t="shared" si="5"/>
        <v>1</v>
      </c>
    </row>
    <row r="353" spans="1:16" ht="15.75" customHeight="1" x14ac:dyDescent="0.35">
      <c r="A353" s="13">
        <v>352</v>
      </c>
      <c r="B353" s="14">
        <v>45807</v>
      </c>
      <c r="C353" s="15"/>
      <c r="D353" s="16" t="s">
        <v>32</v>
      </c>
      <c r="E353" s="17">
        <v>8000</v>
      </c>
      <c r="F353" s="18"/>
      <c r="G353" s="18"/>
      <c r="H353" s="19">
        <v>250000</v>
      </c>
      <c r="I353" s="19">
        <v>80000</v>
      </c>
      <c r="J353" s="20" t="s">
        <v>33</v>
      </c>
      <c r="K353" s="13">
        <v>65</v>
      </c>
      <c r="L353" s="21" t="s">
        <v>34</v>
      </c>
      <c r="M353" s="21" t="s">
        <v>35</v>
      </c>
      <c r="N353" s="16" t="s">
        <v>43</v>
      </c>
      <c r="O353" t="str">
        <f>IF(TRIM(J353)="","NULL",IFERROR(VLOOKUP(TRIM(J353),Lookup_PropertyType!$A:$B,2,FALSE()),"other"))</f>
        <v>apartment</v>
      </c>
      <c r="P353">
        <f t="shared" si="5"/>
        <v>0</v>
      </c>
    </row>
    <row r="354" spans="1:16" ht="15.75" customHeight="1" x14ac:dyDescent="0.35">
      <c r="A354" s="13">
        <v>353</v>
      </c>
      <c r="B354" s="14">
        <v>45766</v>
      </c>
      <c r="C354" s="15"/>
      <c r="D354" s="16" t="s">
        <v>32</v>
      </c>
      <c r="E354" s="17">
        <v>5000</v>
      </c>
      <c r="F354" s="18"/>
      <c r="G354" s="18"/>
      <c r="H354" s="19">
        <v>250000</v>
      </c>
      <c r="I354" s="19">
        <v>30000</v>
      </c>
      <c r="J354" s="20" t="s">
        <v>33</v>
      </c>
      <c r="K354" s="13">
        <v>52</v>
      </c>
      <c r="L354" s="21" t="s">
        <v>38</v>
      </c>
      <c r="M354" s="21" t="s">
        <v>54</v>
      </c>
      <c r="N354" s="16" t="s">
        <v>36</v>
      </c>
      <c r="O354" t="str">
        <f>IF(TRIM(J354)="","NULL",IFERROR(VLOOKUP(TRIM(J354),Lookup_PropertyType!$A:$B,2,FALSE()),"other"))</f>
        <v>apartment</v>
      </c>
      <c r="P354">
        <f t="shared" si="5"/>
        <v>0</v>
      </c>
    </row>
    <row r="355" spans="1:16" ht="15.75" customHeight="1" x14ac:dyDescent="0.35">
      <c r="A355" s="13">
        <v>354</v>
      </c>
      <c r="B355" s="14">
        <v>45815</v>
      </c>
      <c r="C355" s="15"/>
      <c r="D355" s="16" t="s">
        <v>32</v>
      </c>
      <c r="E355" s="17">
        <v>9200</v>
      </c>
      <c r="F355" s="18"/>
      <c r="G355" s="18"/>
      <c r="H355" s="19">
        <v>350000</v>
      </c>
      <c r="I355" s="19">
        <v>150000</v>
      </c>
      <c r="J355" s="20" t="s">
        <v>33</v>
      </c>
      <c r="K355" s="13">
        <v>49</v>
      </c>
      <c r="L355" s="21" t="s">
        <v>41</v>
      </c>
      <c r="M355" s="21" t="s">
        <v>54</v>
      </c>
      <c r="N355" s="16" t="s">
        <v>42</v>
      </c>
      <c r="O355" t="str">
        <f>IF(TRIM(J355)="","NULL",IFERROR(VLOOKUP(TRIM(J355),Lookup_PropertyType!$A:$B,2,FALSE()),"other"))</f>
        <v>apartment</v>
      </c>
      <c r="P355">
        <f t="shared" si="5"/>
        <v>0</v>
      </c>
    </row>
    <row r="356" spans="1:16" ht="15.75" customHeight="1" x14ac:dyDescent="0.35">
      <c r="A356" s="13">
        <v>355</v>
      </c>
      <c r="B356" s="14">
        <v>45792</v>
      </c>
      <c r="C356" s="14">
        <v>45866</v>
      </c>
      <c r="D356" s="16" t="s">
        <v>32</v>
      </c>
      <c r="E356" s="17">
        <v>22000</v>
      </c>
      <c r="F356" s="18"/>
      <c r="G356" s="18"/>
      <c r="H356" s="19">
        <v>42000</v>
      </c>
      <c r="I356" s="19">
        <v>200000</v>
      </c>
      <c r="J356" s="20" t="s">
        <v>37</v>
      </c>
      <c r="K356" s="13">
        <v>37</v>
      </c>
      <c r="L356" s="21" t="s">
        <v>41</v>
      </c>
      <c r="M356" s="21" t="s">
        <v>39</v>
      </c>
      <c r="N356" s="16" t="s">
        <v>36</v>
      </c>
      <c r="O356" t="str">
        <f>IF(TRIM(J356)="","NULL",IFERROR(VLOOKUP(TRIM(J356),Lookup_PropertyType!$A:$B,2,FALSE()),"other"))</f>
        <v>house</v>
      </c>
      <c r="P356">
        <f t="shared" si="5"/>
        <v>1</v>
      </c>
    </row>
    <row r="357" spans="1:16" ht="15.75" customHeight="1" x14ac:dyDescent="0.35">
      <c r="A357" s="13">
        <v>356</v>
      </c>
      <c r="B357" s="14">
        <v>45815</v>
      </c>
      <c r="C357" s="15"/>
      <c r="D357" s="16" t="s">
        <v>32</v>
      </c>
      <c r="E357" s="17">
        <v>3000</v>
      </c>
      <c r="F357" s="18"/>
      <c r="G357" s="18"/>
      <c r="H357" s="19">
        <v>560000</v>
      </c>
      <c r="I357" s="19">
        <v>50000</v>
      </c>
      <c r="J357" s="20" t="s">
        <v>37</v>
      </c>
      <c r="K357" s="13">
        <v>40</v>
      </c>
      <c r="L357" s="21" t="s">
        <v>38</v>
      </c>
      <c r="M357" s="21" t="s">
        <v>39</v>
      </c>
      <c r="N357" s="16" t="s">
        <v>42</v>
      </c>
      <c r="O357" t="str">
        <f>IF(TRIM(J357)="","NULL",IFERROR(VLOOKUP(TRIM(J357),Lookup_PropertyType!$A:$B,2,FALSE()),"other"))</f>
        <v>house</v>
      </c>
      <c r="P357">
        <f t="shared" si="5"/>
        <v>0</v>
      </c>
    </row>
    <row r="358" spans="1:16" ht="15.75" customHeight="1" x14ac:dyDescent="0.35">
      <c r="A358" s="13">
        <v>357</v>
      </c>
      <c r="B358" s="14">
        <v>45780</v>
      </c>
      <c r="C358" s="15"/>
      <c r="D358" s="16" t="s">
        <v>32</v>
      </c>
      <c r="E358" s="17">
        <v>12000</v>
      </c>
      <c r="F358" s="18"/>
      <c r="G358" s="18"/>
      <c r="H358" s="19">
        <v>700000</v>
      </c>
      <c r="I358" s="19">
        <v>250000</v>
      </c>
      <c r="J358" s="20" t="s">
        <v>53</v>
      </c>
      <c r="K358" s="13">
        <v>54</v>
      </c>
      <c r="L358" s="21" t="s">
        <v>41</v>
      </c>
      <c r="M358" s="21" t="s">
        <v>39</v>
      </c>
      <c r="N358" s="16" t="s">
        <v>36</v>
      </c>
      <c r="O358" t="str">
        <f>IF(TRIM(J358)="","NULL",IFERROR(VLOOKUP(TRIM(J358),Lookup_PropertyType!$A:$B,2,FALSE()),"other"))</f>
        <v>other</v>
      </c>
      <c r="P358">
        <f t="shared" si="5"/>
        <v>0</v>
      </c>
    </row>
    <row r="359" spans="1:16" ht="15.75" customHeight="1" x14ac:dyDescent="0.35">
      <c r="A359" s="13">
        <v>358</v>
      </c>
      <c r="B359" s="14">
        <v>45779</v>
      </c>
      <c r="C359" s="15"/>
      <c r="D359" s="16" t="s">
        <v>32</v>
      </c>
      <c r="E359" s="17">
        <v>25000</v>
      </c>
      <c r="F359" s="18"/>
      <c r="G359" s="18"/>
      <c r="H359" s="19">
        <v>450000</v>
      </c>
      <c r="I359" s="19">
        <v>60000</v>
      </c>
      <c r="J359" s="20" t="s">
        <v>33</v>
      </c>
      <c r="K359" s="13">
        <v>64</v>
      </c>
      <c r="L359" s="21" t="s">
        <v>38</v>
      </c>
      <c r="M359" s="21" t="s">
        <v>39</v>
      </c>
      <c r="N359" s="16" t="s">
        <v>50</v>
      </c>
      <c r="O359" t="str">
        <f>IF(TRIM(J359)="","NULL",IFERROR(VLOOKUP(TRIM(J359),Lookup_PropertyType!$A:$B,2,FALSE()),"other"))</f>
        <v>apartment</v>
      </c>
      <c r="P359">
        <f t="shared" si="5"/>
        <v>0</v>
      </c>
    </row>
    <row r="360" spans="1:16" ht="15.75" customHeight="1" x14ac:dyDescent="0.35">
      <c r="A360" s="13">
        <v>359</v>
      </c>
      <c r="B360" s="14">
        <v>45821</v>
      </c>
      <c r="C360" s="14">
        <v>45765</v>
      </c>
      <c r="D360" s="16" t="s">
        <v>32</v>
      </c>
      <c r="E360" s="17">
        <v>6000</v>
      </c>
      <c r="F360" s="18"/>
      <c r="G360" s="18"/>
      <c r="H360" s="19">
        <v>280000</v>
      </c>
      <c r="I360" s="19">
        <v>80000</v>
      </c>
      <c r="J360" s="20" t="s">
        <v>37</v>
      </c>
      <c r="K360" s="13">
        <v>45</v>
      </c>
      <c r="L360" s="21" t="s">
        <v>38</v>
      </c>
      <c r="M360" s="21" t="s">
        <v>54</v>
      </c>
      <c r="N360" s="16" t="s">
        <v>36</v>
      </c>
      <c r="O360" t="str">
        <f>IF(TRIM(J360)="","NULL",IFERROR(VLOOKUP(TRIM(J360),Lookup_PropertyType!$A:$B,2,FALSE()),"other"))</f>
        <v>house</v>
      </c>
      <c r="P360">
        <f t="shared" si="5"/>
        <v>0</v>
      </c>
    </row>
    <row r="361" spans="1:16" ht="15.75" customHeight="1" x14ac:dyDescent="0.35">
      <c r="A361" s="13">
        <v>360</v>
      </c>
      <c r="B361" s="14">
        <v>45757</v>
      </c>
      <c r="C361" s="15"/>
      <c r="D361" s="16" t="s">
        <v>32</v>
      </c>
      <c r="E361" s="17">
        <v>8000</v>
      </c>
      <c r="F361" s="18"/>
      <c r="G361" s="18"/>
      <c r="H361" s="19">
        <v>550000</v>
      </c>
      <c r="I361" s="19">
        <v>70000</v>
      </c>
      <c r="J361" s="20" t="s">
        <v>33</v>
      </c>
      <c r="K361" s="13">
        <v>9</v>
      </c>
      <c r="L361" s="21" t="s">
        <v>34</v>
      </c>
      <c r="M361" s="21" t="s">
        <v>39</v>
      </c>
      <c r="N361" s="16" t="s">
        <v>51</v>
      </c>
      <c r="O361" t="str">
        <f>IF(TRIM(J361)="","NULL",IFERROR(VLOOKUP(TRIM(J361),Lookup_PropertyType!$A:$B,2,FALSE()),"other"))</f>
        <v>apartment</v>
      </c>
      <c r="P361">
        <f t="shared" si="5"/>
        <v>0</v>
      </c>
    </row>
    <row r="362" spans="1:16" ht="15.75" customHeight="1" x14ac:dyDescent="0.35">
      <c r="A362" s="13">
        <v>361</v>
      </c>
      <c r="B362" s="14">
        <v>45810</v>
      </c>
      <c r="C362" s="15"/>
      <c r="D362" s="16" t="s">
        <v>32</v>
      </c>
      <c r="E362" s="17">
        <v>25000</v>
      </c>
      <c r="F362" s="18"/>
      <c r="G362" s="18"/>
      <c r="H362" s="19">
        <v>600000</v>
      </c>
      <c r="I362" s="19">
        <v>180000</v>
      </c>
      <c r="J362" s="20" t="s">
        <v>33</v>
      </c>
      <c r="K362" s="13">
        <v>60</v>
      </c>
      <c r="L362" s="21" t="s">
        <v>34</v>
      </c>
      <c r="M362" s="21" t="s">
        <v>39</v>
      </c>
      <c r="N362" s="16" t="s">
        <v>36</v>
      </c>
      <c r="O362" t="str">
        <f>IF(TRIM(J362)="","NULL",IFERROR(VLOOKUP(TRIM(J362),Lookup_PropertyType!$A:$B,2,FALSE()),"other"))</f>
        <v>apartment</v>
      </c>
      <c r="P362">
        <f t="shared" si="5"/>
        <v>0</v>
      </c>
    </row>
    <row r="363" spans="1:16" ht="15.75" customHeight="1" x14ac:dyDescent="0.35">
      <c r="A363" s="13">
        <v>362</v>
      </c>
      <c r="B363" s="14">
        <v>45856</v>
      </c>
      <c r="C363" s="14">
        <v>45929</v>
      </c>
      <c r="D363" s="16" t="s">
        <v>32</v>
      </c>
      <c r="E363" s="17">
        <v>15000</v>
      </c>
      <c r="F363" s="18"/>
      <c r="G363" s="18"/>
      <c r="H363" s="19">
        <v>800000</v>
      </c>
      <c r="I363" s="19">
        <v>160000</v>
      </c>
      <c r="J363" s="20" t="s">
        <v>37</v>
      </c>
      <c r="K363" s="13">
        <v>57</v>
      </c>
      <c r="L363" s="21" t="s">
        <v>59</v>
      </c>
      <c r="M363" s="21" t="s">
        <v>39</v>
      </c>
      <c r="N363" s="16" t="s">
        <v>42</v>
      </c>
      <c r="O363" t="str">
        <f>IF(TRIM(J363)="","NULL",IFERROR(VLOOKUP(TRIM(J363),Lookup_PropertyType!$A:$B,2,FALSE()),"other"))</f>
        <v>house</v>
      </c>
      <c r="P363">
        <f t="shared" si="5"/>
        <v>1</v>
      </c>
    </row>
    <row r="364" spans="1:16" ht="15.75" customHeight="1" x14ac:dyDescent="0.35">
      <c r="A364" s="13">
        <v>363</v>
      </c>
      <c r="B364" s="14">
        <v>45806</v>
      </c>
      <c r="C364" s="15"/>
      <c r="D364" s="16" t="s">
        <v>32</v>
      </c>
      <c r="E364" s="17">
        <v>6900</v>
      </c>
      <c r="F364" s="18"/>
      <c r="G364" s="18"/>
      <c r="H364" s="19">
        <v>600000</v>
      </c>
      <c r="I364" s="19">
        <v>35000</v>
      </c>
      <c r="J364" s="20" t="s">
        <v>33</v>
      </c>
      <c r="K364" s="13">
        <v>66</v>
      </c>
      <c r="L364" s="21" t="s">
        <v>45</v>
      </c>
      <c r="M364" s="21" t="s">
        <v>39</v>
      </c>
      <c r="N364" s="16" t="s">
        <v>42</v>
      </c>
      <c r="O364" t="str">
        <f>IF(TRIM(J364)="","NULL",IFERROR(VLOOKUP(TRIM(J364),Lookup_PropertyType!$A:$B,2,FALSE()),"other"))</f>
        <v>apartment</v>
      </c>
      <c r="P364">
        <f t="shared" si="5"/>
        <v>0</v>
      </c>
    </row>
    <row r="365" spans="1:16" ht="15.75" customHeight="1" x14ac:dyDescent="0.35">
      <c r="A365" s="13">
        <v>364</v>
      </c>
      <c r="B365" s="14">
        <v>45766</v>
      </c>
      <c r="C365" s="14">
        <v>45827</v>
      </c>
      <c r="D365" s="16" t="s">
        <v>32</v>
      </c>
      <c r="E365" s="17">
        <v>25000</v>
      </c>
      <c r="F365" s="18"/>
      <c r="G365" s="18"/>
      <c r="H365" s="19">
        <v>700000</v>
      </c>
      <c r="I365" s="19">
        <v>350000</v>
      </c>
      <c r="J365" s="20" t="s">
        <v>33</v>
      </c>
      <c r="K365" s="13">
        <v>52</v>
      </c>
      <c r="L365" s="21" t="s">
        <v>41</v>
      </c>
      <c r="M365" s="21" t="s">
        <v>35</v>
      </c>
      <c r="N365" s="16" t="s">
        <v>36</v>
      </c>
      <c r="O365" t="str">
        <f>IF(TRIM(J365)="","NULL",IFERROR(VLOOKUP(TRIM(J365),Lookup_PropertyType!$A:$B,2,FALSE()),"other"))</f>
        <v>apartment</v>
      </c>
      <c r="P365">
        <f t="shared" si="5"/>
        <v>1</v>
      </c>
    </row>
    <row r="366" spans="1:16" ht="15.75" customHeight="1" x14ac:dyDescent="0.35">
      <c r="A366" s="13">
        <v>365</v>
      </c>
      <c r="B366" s="14">
        <v>45800</v>
      </c>
      <c r="C366" s="15"/>
      <c r="D366" s="16" t="s">
        <v>58</v>
      </c>
      <c r="E366" s="17">
        <v>15000</v>
      </c>
      <c r="F366" s="18"/>
      <c r="G366" s="18"/>
      <c r="H366" s="19">
        <v>300000</v>
      </c>
      <c r="I366" s="19">
        <v>120000</v>
      </c>
      <c r="J366" s="20" t="s">
        <v>33</v>
      </c>
      <c r="K366" s="13">
        <v>64</v>
      </c>
      <c r="L366" s="21" t="s">
        <v>64</v>
      </c>
      <c r="M366" s="21" t="s">
        <v>39</v>
      </c>
      <c r="N366" s="16" t="s">
        <v>50</v>
      </c>
      <c r="O366" t="str">
        <f>IF(TRIM(J366)="","NULL",IFERROR(VLOOKUP(TRIM(J366),Lookup_PropertyType!$A:$B,2,FALSE()),"other"))</f>
        <v>apartment</v>
      </c>
      <c r="P366">
        <f t="shared" si="5"/>
        <v>0</v>
      </c>
    </row>
    <row r="367" spans="1:16" ht="15.75" customHeight="1" x14ac:dyDescent="0.35">
      <c r="A367" s="13">
        <v>366</v>
      </c>
      <c r="B367" s="14">
        <v>45779</v>
      </c>
      <c r="C367" s="15"/>
      <c r="D367" s="16" t="s">
        <v>32</v>
      </c>
      <c r="E367" s="17">
        <v>20000</v>
      </c>
      <c r="F367" s="18"/>
      <c r="G367" s="18"/>
      <c r="H367" s="19">
        <v>350000</v>
      </c>
      <c r="I367" s="19">
        <v>200000</v>
      </c>
      <c r="J367" s="20" t="s">
        <v>53</v>
      </c>
      <c r="K367" s="13">
        <v>47</v>
      </c>
      <c r="L367" s="21" t="s">
        <v>38</v>
      </c>
      <c r="M367" s="21" t="s">
        <v>39</v>
      </c>
      <c r="N367" s="16" t="s">
        <v>36</v>
      </c>
      <c r="O367" t="str">
        <f>IF(TRIM(J367)="","NULL",IFERROR(VLOOKUP(TRIM(J367),Lookup_PropertyType!$A:$B,2,FALSE()),"other"))</f>
        <v>other</v>
      </c>
      <c r="P367">
        <f t="shared" si="5"/>
        <v>0</v>
      </c>
    </row>
    <row r="368" spans="1:16" ht="15.75" customHeight="1" x14ac:dyDescent="0.35">
      <c r="A368" s="13">
        <v>367</v>
      </c>
      <c r="B368" s="14">
        <v>45767</v>
      </c>
      <c r="C368" s="14">
        <v>45810</v>
      </c>
      <c r="D368" s="16" t="s">
        <v>32</v>
      </c>
      <c r="E368" s="17">
        <v>6000</v>
      </c>
      <c r="F368" s="18"/>
      <c r="G368" s="18"/>
      <c r="H368" s="19">
        <v>450000</v>
      </c>
      <c r="I368" s="19">
        <v>55000</v>
      </c>
      <c r="J368" s="20" t="s">
        <v>33</v>
      </c>
      <c r="K368" s="13">
        <v>51</v>
      </c>
      <c r="L368" s="21" t="s">
        <v>38</v>
      </c>
      <c r="M368" s="21" t="s">
        <v>48</v>
      </c>
      <c r="N368" s="16" t="s">
        <v>42</v>
      </c>
      <c r="O368" t="str">
        <f>IF(TRIM(J368)="","NULL",IFERROR(VLOOKUP(TRIM(J368),Lookup_PropertyType!$A:$B,2,FALSE()),"other"))</f>
        <v>apartment</v>
      </c>
      <c r="P368">
        <f t="shared" si="5"/>
        <v>1</v>
      </c>
    </row>
    <row r="369" spans="1:16" ht="15.75" customHeight="1" x14ac:dyDescent="0.35">
      <c r="A369" s="13">
        <v>368</v>
      </c>
      <c r="B369" s="14">
        <v>45792</v>
      </c>
      <c r="C369" s="14">
        <v>45843</v>
      </c>
      <c r="D369" s="16" t="s">
        <v>32</v>
      </c>
      <c r="E369" s="17">
        <v>10000</v>
      </c>
      <c r="F369" s="18"/>
      <c r="G369" s="18"/>
      <c r="H369" s="19">
        <v>250000</v>
      </c>
      <c r="I369" s="19">
        <v>30000</v>
      </c>
      <c r="J369" s="20" t="s">
        <v>33</v>
      </c>
      <c r="K369" s="13">
        <v>48</v>
      </c>
      <c r="L369" s="21" t="s">
        <v>59</v>
      </c>
      <c r="M369" s="21" t="s">
        <v>39</v>
      </c>
      <c r="N369" s="16" t="s">
        <v>42</v>
      </c>
      <c r="O369" t="str">
        <f>IF(TRIM(J369)="","NULL",IFERROR(VLOOKUP(TRIM(J369),Lookup_PropertyType!$A:$B,2,FALSE()),"other"))</f>
        <v>apartment</v>
      </c>
      <c r="P369">
        <f t="shared" si="5"/>
        <v>1</v>
      </c>
    </row>
    <row r="370" spans="1:16" ht="15.75" customHeight="1" x14ac:dyDescent="0.35">
      <c r="A370" s="13">
        <v>369</v>
      </c>
      <c r="B370" s="14">
        <v>45779</v>
      </c>
      <c r="C370" s="14">
        <v>45893</v>
      </c>
      <c r="D370" s="16" t="s">
        <v>44</v>
      </c>
      <c r="E370" s="17">
        <v>3800</v>
      </c>
      <c r="F370" s="18"/>
      <c r="G370" s="18"/>
      <c r="H370" s="19">
        <v>180000</v>
      </c>
      <c r="I370" s="19">
        <v>50000</v>
      </c>
      <c r="J370" s="20" t="s">
        <v>33</v>
      </c>
      <c r="K370" s="13">
        <v>40</v>
      </c>
      <c r="L370" s="21" t="s">
        <v>41</v>
      </c>
      <c r="M370" s="21" t="s">
        <v>39</v>
      </c>
      <c r="N370" s="16" t="s">
        <v>42</v>
      </c>
      <c r="O370" t="str">
        <f>IF(TRIM(J370)="","NULL",IFERROR(VLOOKUP(TRIM(J370),Lookup_PropertyType!$A:$B,2,FALSE()),"other"))</f>
        <v>apartment</v>
      </c>
      <c r="P370">
        <f t="shared" si="5"/>
        <v>1</v>
      </c>
    </row>
    <row r="371" spans="1:16" ht="15.75" customHeight="1" x14ac:dyDescent="0.35">
      <c r="A371" s="13">
        <v>370</v>
      </c>
      <c r="B371" s="14">
        <v>45774</v>
      </c>
      <c r="C371" s="15"/>
      <c r="D371" s="16" t="s">
        <v>55</v>
      </c>
      <c r="E371" s="17">
        <v>3500</v>
      </c>
      <c r="F371" s="18"/>
      <c r="G371" s="18"/>
      <c r="H371" s="19">
        <v>300000</v>
      </c>
      <c r="I371" s="19">
        <v>35000</v>
      </c>
      <c r="J371" s="20" t="s">
        <v>37</v>
      </c>
      <c r="K371" s="13">
        <v>47</v>
      </c>
      <c r="L371" s="21" t="s">
        <v>38</v>
      </c>
      <c r="M371" s="21" t="s">
        <v>54</v>
      </c>
      <c r="N371" s="16" t="s">
        <v>42</v>
      </c>
      <c r="O371" t="str">
        <f>IF(TRIM(J371)="","NULL",IFERROR(VLOOKUP(TRIM(J371),Lookup_PropertyType!$A:$B,2,FALSE()),"other"))</f>
        <v>house</v>
      </c>
      <c r="P371">
        <f t="shared" si="5"/>
        <v>0</v>
      </c>
    </row>
    <row r="372" spans="1:16" ht="15.75" customHeight="1" x14ac:dyDescent="0.35">
      <c r="A372" s="13">
        <v>371</v>
      </c>
      <c r="B372" s="14">
        <v>45766</v>
      </c>
      <c r="C372" s="15"/>
      <c r="D372" s="16" t="s">
        <v>32</v>
      </c>
      <c r="E372" s="17">
        <v>10000</v>
      </c>
      <c r="F372" s="18"/>
      <c r="G372" s="18"/>
      <c r="H372" s="19">
        <v>600000</v>
      </c>
      <c r="I372" s="19">
        <v>80000</v>
      </c>
      <c r="J372" s="20" t="s">
        <v>37</v>
      </c>
      <c r="K372" s="13">
        <v>46</v>
      </c>
      <c r="L372" s="21" t="s">
        <v>34</v>
      </c>
      <c r="M372" s="21" t="s">
        <v>39</v>
      </c>
      <c r="N372" s="16" t="s">
        <v>51</v>
      </c>
      <c r="O372" t="str">
        <f>IF(TRIM(J372)="","NULL",IFERROR(VLOOKUP(TRIM(J372),Lookup_PropertyType!$A:$B,2,FALSE()),"other"))</f>
        <v>house</v>
      </c>
      <c r="P372">
        <f t="shared" si="5"/>
        <v>0</v>
      </c>
    </row>
    <row r="373" spans="1:16" ht="15.75" customHeight="1" x14ac:dyDescent="0.35">
      <c r="A373" s="13">
        <v>372</v>
      </c>
      <c r="B373" s="14">
        <v>45801</v>
      </c>
      <c r="C373" s="15"/>
      <c r="D373" s="16" t="s">
        <v>44</v>
      </c>
      <c r="E373" s="17">
        <v>10000</v>
      </c>
      <c r="F373" s="18"/>
      <c r="G373" s="18"/>
      <c r="H373" s="19">
        <v>210000</v>
      </c>
      <c r="I373" s="19">
        <v>65000</v>
      </c>
      <c r="J373" s="20" t="s">
        <v>33</v>
      </c>
      <c r="K373" s="13">
        <v>46</v>
      </c>
      <c r="L373" s="21" t="s">
        <v>34</v>
      </c>
      <c r="M373" s="21" t="s">
        <v>39</v>
      </c>
      <c r="N373" s="16" t="s">
        <v>42</v>
      </c>
      <c r="O373" t="str">
        <f>IF(TRIM(J373)="","NULL",IFERROR(VLOOKUP(TRIM(J373),Lookup_PropertyType!$A:$B,2,FALSE()),"other"))</f>
        <v>apartment</v>
      </c>
      <c r="P373">
        <f t="shared" si="5"/>
        <v>0</v>
      </c>
    </row>
    <row r="374" spans="1:16" ht="15.75" customHeight="1" x14ac:dyDescent="0.35">
      <c r="A374" s="13">
        <v>373</v>
      </c>
      <c r="B374" s="14">
        <v>45788</v>
      </c>
      <c r="C374" s="15"/>
      <c r="D374" s="16" t="s">
        <v>32</v>
      </c>
      <c r="E374" s="17">
        <v>5000</v>
      </c>
      <c r="F374" s="18"/>
      <c r="G374" s="18"/>
      <c r="H374" s="19">
        <v>450000</v>
      </c>
      <c r="I374" s="19">
        <v>60000</v>
      </c>
      <c r="J374" s="20" t="s">
        <v>37</v>
      </c>
      <c r="K374" s="13">
        <v>43</v>
      </c>
      <c r="L374" s="21" t="s">
        <v>38</v>
      </c>
      <c r="M374" s="21" t="s">
        <v>48</v>
      </c>
      <c r="N374" s="16" t="s">
        <v>42</v>
      </c>
      <c r="O374" t="str">
        <f>IF(TRIM(J374)="","NULL",IFERROR(VLOOKUP(TRIM(J374),Lookup_PropertyType!$A:$B,2,FALSE()),"other"))</f>
        <v>house</v>
      </c>
      <c r="P374">
        <f t="shared" si="5"/>
        <v>0</v>
      </c>
    </row>
    <row r="375" spans="1:16" ht="15.75" customHeight="1" x14ac:dyDescent="0.35">
      <c r="A375" s="13">
        <v>374</v>
      </c>
      <c r="B375" s="14">
        <v>45967</v>
      </c>
      <c r="C375" s="15"/>
      <c r="D375" s="16" t="s">
        <v>58</v>
      </c>
      <c r="E375" s="17">
        <v>9000</v>
      </c>
      <c r="F375" s="13">
        <v>180</v>
      </c>
      <c r="G375" s="13">
        <v>727</v>
      </c>
      <c r="H375" s="19">
        <v>600000</v>
      </c>
      <c r="I375" s="19">
        <v>100000</v>
      </c>
      <c r="J375" s="20" t="s">
        <v>33</v>
      </c>
      <c r="K375" s="13">
        <v>29</v>
      </c>
      <c r="L375" s="21" t="s">
        <v>38</v>
      </c>
      <c r="M375" s="21" t="s">
        <v>39</v>
      </c>
      <c r="N375" s="16" t="s">
        <v>48</v>
      </c>
      <c r="O375" t="str">
        <f>IF(TRIM(J375)="","NULL",IFERROR(VLOOKUP(TRIM(J375),Lookup_PropertyType!$A:$B,2,FALSE()),"other"))</f>
        <v>apartment</v>
      </c>
      <c r="P375">
        <f t="shared" si="5"/>
        <v>0</v>
      </c>
    </row>
    <row r="376" spans="1:16" ht="15.75" customHeight="1" x14ac:dyDescent="0.35">
      <c r="A376" s="13">
        <v>375</v>
      </c>
      <c r="B376" s="14">
        <v>45775</v>
      </c>
      <c r="C376" s="14">
        <v>45866</v>
      </c>
      <c r="D376" s="16" t="s">
        <v>32</v>
      </c>
      <c r="E376" s="17">
        <v>3000</v>
      </c>
      <c r="F376" s="18"/>
      <c r="G376" s="18"/>
      <c r="H376" s="19">
        <v>200000</v>
      </c>
      <c r="I376" s="19">
        <v>50000</v>
      </c>
      <c r="J376" s="20" t="s">
        <v>37</v>
      </c>
      <c r="K376" s="13">
        <v>58</v>
      </c>
      <c r="L376" s="21" t="s">
        <v>38</v>
      </c>
      <c r="M376" s="21" t="s">
        <v>39</v>
      </c>
      <c r="N376" s="16" t="s">
        <v>43</v>
      </c>
      <c r="O376" t="str">
        <f>IF(TRIM(J376)="","NULL",IFERROR(VLOOKUP(TRIM(J376),Lookup_PropertyType!$A:$B,2,FALSE()),"other"))</f>
        <v>house</v>
      </c>
      <c r="P376">
        <f t="shared" si="5"/>
        <v>1</v>
      </c>
    </row>
    <row r="377" spans="1:16" ht="15.75" customHeight="1" x14ac:dyDescent="0.35">
      <c r="A377" s="13">
        <v>376</v>
      </c>
      <c r="B377" s="14">
        <v>45799</v>
      </c>
      <c r="C377" s="15"/>
      <c r="D377" s="16" t="s">
        <v>32</v>
      </c>
      <c r="E377" s="17">
        <v>38000</v>
      </c>
      <c r="F377" s="18"/>
      <c r="G377" s="18"/>
      <c r="H377" s="19">
        <v>780000</v>
      </c>
      <c r="I377" s="19">
        <v>400000</v>
      </c>
      <c r="J377" s="20" t="s">
        <v>33</v>
      </c>
      <c r="K377" s="13">
        <v>66</v>
      </c>
      <c r="L377" s="21" t="s">
        <v>38</v>
      </c>
      <c r="M377" s="21" t="s">
        <v>39</v>
      </c>
      <c r="N377" s="16" t="s">
        <v>36</v>
      </c>
      <c r="O377" t="str">
        <f>IF(TRIM(J377)="","NULL",IFERROR(VLOOKUP(TRIM(J377),Lookup_PropertyType!$A:$B,2,FALSE()),"other"))</f>
        <v>apartment</v>
      </c>
      <c r="P377">
        <f t="shared" si="5"/>
        <v>0</v>
      </c>
    </row>
    <row r="378" spans="1:16" ht="15.75" customHeight="1" x14ac:dyDescent="0.35">
      <c r="A378" s="13">
        <v>377</v>
      </c>
      <c r="B378" s="14">
        <v>45779</v>
      </c>
      <c r="C378" s="14">
        <v>45820</v>
      </c>
      <c r="D378" s="16" t="s">
        <v>32</v>
      </c>
      <c r="E378" s="17">
        <v>10000</v>
      </c>
      <c r="F378" s="18"/>
      <c r="G378" s="18"/>
      <c r="H378" s="19">
        <v>350000</v>
      </c>
      <c r="I378" s="19">
        <v>30000</v>
      </c>
      <c r="J378" s="20" t="s">
        <v>33</v>
      </c>
      <c r="K378" s="13">
        <v>59</v>
      </c>
      <c r="L378" s="21" t="s">
        <v>34</v>
      </c>
      <c r="M378" s="21" t="s">
        <v>39</v>
      </c>
      <c r="N378" s="16" t="s">
        <v>50</v>
      </c>
      <c r="O378" t="str">
        <f>IF(TRIM(J378)="","NULL",IFERROR(VLOOKUP(TRIM(J378),Lookup_PropertyType!$A:$B,2,FALSE()),"other"))</f>
        <v>apartment</v>
      </c>
      <c r="P378">
        <f t="shared" si="5"/>
        <v>1</v>
      </c>
    </row>
    <row r="379" spans="1:16" ht="15.75" customHeight="1" x14ac:dyDescent="0.35">
      <c r="A379" s="13">
        <v>378</v>
      </c>
      <c r="B379" s="14">
        <v>45978</v>
      </c>
      <c r="C379" s="15"/>
      <c r="D379" s="16" t="s">
        <v>58</v>
      </c>
      <c r="E379" s="17">
        <v>20000</v>
      </c>
      <c r="F379" s="18"/>
      <c r="G379" s="18"/>
      <c r="H379" s="19">
        <v>150000</v>
      </c>
      <c r="I379" s="19">
        <v>120000</v>
      </c>
      <c r="J379" s="20" t="s">
        <v>33</v>
      </c>
      <c r="K379" s="13">
        <v>43</v>
      </c>
      <c r="L379" s="21" t="s">
        <v>41</v>
      </c>
      <c r="M379" s="21" t="s">
        <v>54</v>
      </c>
      <c r="N379" s="16" t="s">
        <v>50</v>
      </c>
      <c r="O379" t="str">
        <f>IF(TRIM(J379)="","NULL",IFERROR(VLOOKUP(TRIM(J379),Lookup_PropertyType!$A:$B,2,FALSE()),"other"))</f>
        <v>apartment</v>
      </c>
      <c r="P379">
        <f t="shared" si="5"/>
        <v>0</v>
      </c>
    </row>
    <row r="380" spans="1:16" ht="15.75" customHeight="1" x14ac:dyDescent="0.35">
      <c r="A380" s="13">
        <v>379</v>
      </c>
      <c r="B380" s="14">
        <v>45779</v>
      </c>
      <c r="C380" s="15"/>
      <c r="D380" s="16" t="s">
        <v>32</v>
      </c>
      <c r="E380" s="17">
        <v>12000</v>
      </c>
      <c r="F380" s="18"/>
      <c r="G380" s="18"/>
      <c r="H380" s="19">
        <v>280000</v>
      </c>
      <c r="I380" s="19">
        <v>352219</v>
      </c>
      <c r="J380" s="20" t="s">
        <v>37</v>
      </c>
      <c r="K380" s="13">
        <v>61</v>
      </c>
      <c r="L380" s="21" t="s">
        <v>41</v>
      </c>
      <c r="M380" s="21" t="s">
        <v>39</v>
      </c>
      <c r="N380" s="16" t="s">
        <v>36</v>
      </c>
      <c r="O380" t="str">
        <f>IF(TRIM(J380)="","NULL",IFERROR(VLOOKUP(TRIM(J380),Lookup_PropertyType!$A:$B,2,FALSE()),"other"))</f>
        <v>house</v>
      </c>
      <c r="P380">
        <f t="shared" si="5"/>
        <v>0</v>
      </c>
    </row>
    <row r="381" spans="1:16" ht="15.75" customHeight="1" x14ac:dyDescent="0.35">
      <c r="A381" s="13">
        <v>380</v>
      </c>
      <c r="B381" s="14">
        <v>45831</v>
      </c>
      <c r="C381" s="15"/>
      <c r="D381" s="16" t="s">
        <v>32</v>
      </c>
      <c r="E381" s="17">
        <v>16000</v>
      </c>
      <c r="F381" s="18"/>
      <c r="G381" s="18"/>
      <c r="H381" s="19">
        <v>900000</v>
      </c>
      <c r="I381" s="19">
        <v>70000</v>
      </c>
      <c r="J381" s="20" t="s">
        <v>33</v>
      </c>
      <c r="K381" s="13">
        <v>53</v>
      </c>
      <c r="L381" s="21" t="s">
        <v>41</v>
      </c>
      <c r="M381" s="21" t="s">
        <v>39</v>
      </c>
      <c r="N381" s="16" t="s">
        <v>36</v>
      </c>
      <c r="O381" t="str">
        <f>IF(TRIM(J381)="","NULL",IFERROR(VLOOKUP(TRIM(J381),Lookup_PropertyType!$A:$B,2,FALSE()),"other"))</f>
        <v>apartment</v>
      </c>
      <c r="P381">
        <f t="shared" si="5"/>
        <v>0</v>
      </c>
    </row>
    <row r="382" spans="1:16" ht="15.75" customHeight="1" x14ac:dyDescent="0.35">
      <c r="A382" s="13">
        <v>381</v>
      </c>
      <c r="B382" s="14">
        <v>45789</v>
      </c>
      <c r="C382" s="15"/>
      <c r="D382" s="16" t="s">
        <v>32</v>
      </c>
      <c r="E382" s="17">
        <v>9329.74</v>
      </c>
      <c r="F382" s="18"/>
      <c r="G382" s="18"/>
      <c r="H382" s="19">
        <v>500000</v>
      </c>
      <c r="I382" s="19">
        <v>150000</v>
      </c>
      <c r="J382" s="20" t="s">
        <v>37</v>
      </c>
      <c r="K382" s="13">
        <v>52</v>
      </c>
      <c r="L382" s="21" t="s">
        <v>38</v>
      </c>
      <c r="M382" s="21" t="s">
        <v>39</v>
      </c>
      <c r="N382" s="16" t="s">
        <v>50</v>
      </c>
      <c r="O382" t="str">
        <f>IF(TRIM(J382)="","NULL",IFERROR(VLOOKUP(TRIM(J382),Lookup_PropertyType!$A:$B,2,FALSE()),"other"))</f>
        <v>house</v>
      </c>
      <c r="P382">
        <f t="shared" si="5"/>
        <v>0</v>
      </c>
    </row>
    <row r="383" spans="1:16" ht="15.75" customHeight="1" x14ac:dyDescent="0.35">
      <c r="A383" s="13">
        <v>382</v>
      </c>
      <c r="B383" s="14">
        <v>45893</v>
      </c>
      <c r="C383" s="15"/>
      <c r="D383" s="16" t="s">
        <v>44</v>
      </c>
      <c r="E383" s="17">
        <v>12900</v>
      </c>
      <c r="F383" s="18"/>
      <c r="G383" s="18"/>
      <c r="H383" s="19">
        <v>360000</v>
      </c>
      <c r="I383" s="19">
        <v>457161</v>
      </c>
      <c r="J383" s="20" t="s">
        <v>33</v>
      </c>
      <c r="K383" s="13">
        <v>43</v>
      </c>
      <c r="L383" s="21" t="s">
        <v>59</v>
      </c>
      <c r="M383" s="21" t="s">
        <v>39</v>
      </c>
      <c r="N383" s="16" t="s">
        <v>36</v>
      </c>
      <c r="O383" t="str">
        <f>IF(TRIM(J383)="","NULL",IFERROR(VLOOKUP(TRIM(J383),Lookup_PropertyType!$A:$B,2,FALSE()),"other"))</f>
        <v>apartment</v>
      </c>
      <c r="P383">
        <f t="shared" si="5"/>
        <v>0</v>
      </c>
    </row>
    <row r="384" spans="1:16" ht="15.75" customHeight="1" x14ac:dyDescent="0.35">
      <c r="A384" s="13">
        <v>383</v>
      </c>
      <c r="B384" s="14">
        <v>45794</v>
      </c>
      <c r="C384" s="14">
        <v>45814</v>
      </c>
      <c r="D384" s="16" t="s">
        <v>55</v>
      </c>
      <c r="E384" s="17">
        <v>15000</v>
      </c>
      <c r="F384" s="18"/>
      <c r="G384" s="18"/>
      <c r="H384" s="19">
        <v>700000</v>
      </c>
      <c r="I384" s="19">
        <v>200000</v>
      </c>
      <c r="J384" s="20" t="s">
        <v>37</v>
      </c>
      <c r="K384" s="13">
        <v>53</v>
      </c>
      <c r="L384" s="21" t="s">
        <v>41</v>
      </c>
      <c r="M384" s="21" t="s">
        <v>39</v>
      </c>
      <c r="N384" s="16" t="s">
        <v>36</v>
      </c>
      <c r="O384" t="str">
        <f>IF(TRIM(J384)="","NULL",IFERROR(VLOOKUP(TRIM(J384),Lookup_PropertyType!$A:$B,2,FALSE()),"other"))</f>
        <v>house</v>
      </c>
      <c r="P384">
        <f t="shared" si="5"/>
        <v>1</v>
      </c>
    </row>
    <row r="385" spans="1:16" ht="15.75" customHeight="1" x14ac:dyDescent="0.35">
      <c r="A385" s="13">
        <v>384</v>
      </c>
      <c r="B385" s="14">
        <v>45858</v>
      </c>
      <c r="C385" s="15"/>
      <c r="D385" s="16" t="s">
        <v>32</v>
      </c>
      <c r="E385" s="17">
        <v>45000</v>
      </c>
      <c r="F385" s="18"/>
      <c r="G385" s="18"/>
      <c r="H385" s="19">
        <v>2500000</v>
      </c>
      <c r="I385" s="19">
        <v>500000</v>
      </c>
      <c r="J385" s="20" t="s">
        <v>33</v>
      </c>
      <c r="K385" s="13">
        <v>59</v>
      </c>
      <c r="L385" s="21" t="s">
        <v>38</v>
      </c>
      <c r="M385" s="21" t="s">
        <v>35</v>
      </c>
      <c r="N385" s="16" t="s">
        <v>36</v>
      </c>
      <c r="O385" t="str">
        <f>IF(TRIM(J385)="","NULL",IFERROR(VLOOKUP(TRIM(J385),Lookup_PropertyType!$A:$B,2,FALSE()),"other"))</f>
        <v>apartment</v>
      </c>
      <c r="P385">
        <f t="shared" si="5"/>
        <v>0</v>
      </c>
    </row>
    <row r="386" spans="1:16" ht="15.75" customHeight="1" x14ac:dyDescent="0.35">
      <c r="A386" s="13">
        <v>385</v>
      </c>
      <c r="B386" s="14">
        <v>45914</v>
      </c>
      <c r="C386" s="15"/>
      <c r="D386" s="16" t="s">
        <v>32</v>
      </c>
      <c r="E386" s="17">
        <v>8000</v>
      </c>
      <c r="F386" s="18"/>
      <c r="G386" s="18"/>
      <c r="H386" s="19">
        <v>240000</v>
      </c>
      <c r="I386" s="19">
        <v>80000</v>
      </c>
      <c r="J386" s="20" t="s">
        <v>33</v>
      </c>
      <c r="K386" s="13">
        <v>37</v>
      </c>
      <c r="L386" s="21" t="s">
        <v>59</v>
      </c>
      <c r="M386" s="21" t="s">
        <v>48</v>
      </c>
      <c r="N386" s="16" t="s">
        <v>42</v>
      </c>
      <c r="O386" t="str">
        <f>IF(TRIM(J386)="","NULL",IFERROR(VLOOKUP(TRIM(J386),Lookup_PropertyType!$A:$B,2,FALSE()),"other"))</f>
        <v>apartment</v>
      </c>
      <c r="P386">
        <f t="shared" ref="P386:P449" si="6">IF(AND(C386&lt;&gt;"",C386&gt;=B386),1,0)</f>
        <v>0</v>
      </c>
    </row>
    <row r="387" spans="1:16" ht="15.75" customHeight="1" x14ac:dyDescent="0.35">
      <c r="A387" s="13">
        <v>386</v>
      </c>
      <c r="B387" s="14">
        <v>45782</v>
      </c>
      <c r="C387" s="15"/>
      <c r="D387" s="16" t="s">
        <v>32</v>
      </c>
      <c r="E387" s="17">
        <v>10000</v>
      </c>
      <c r="F387" s="18"/>
      <c r="G387" s="18"/>
      <c r="H387" s="19">
        <v>700000</v>
      </c>
      <c r="I387" s="19">
        <v>180000</v>
      </c>
      <c r="J387" s="20" t="s">
        <v>33</v>
      </c>
      <c r="K387" s="13">
        <v>63</v>
      </c>
      <c r="L387" s="21" t="s">
        <v>41</v>
      </c>
      <c r="M387" s="21" t="s">
        <v>35</v>
      </c>
      <c r="N387" s="16" t="s">
        <v>42</v>
      </c>
      <c r="O387" t="str">
        <f>IF(TRIM(J387)="","NULL",IFERROR(VLOOKUP(TRIM(J387),Lookup_PropertyType!$A:$B,2,FALSE()),"other"))</f>
        <v>apartment</v>
      </c>
      <c r="P387">
        <f t="shared" si="6"/>
        <v>0</v>
      </c>
    </row>
    <row r="388" spans="1:16" ht="15.75" customHeight="1" x14ac:dyDescent="0.35">
      <c r="A388" s="13">
        <v>387</v>
      </c>
      <c r="B388" s="14">
        <v>45918</v>
      </c>
      <c r="C388" s="14">
        <v>45999</v>
      </c>
      <c r="D388" s="16" t="s">
        <v>32</v>
      </c>
      <c r="E388" s="17">
        <v>5800</v>
      </c>
      <c r="F388" s="18"/>
      <c r="G388" s="18"/>
      <c r="H388" s="19">
        <v>375000</v>
      </c>
      <c r="I388" s="19">
        <v>80000</v>
      </c>
      <c r="J388" s="20" t="s">
        <v>33</v>
      </c>
      <c r="K388" s="13">
        <v>35</v>
      </c>
      <c r="L388" s="21" t="s">
        <v>38</v>
      </c>
      <c r="M388" s="21" t="s">
        <v>39</v>
      </c>
      <c r="N388" s="16" t="s">
        <v>36</v>
      </c>
      <c r="O388" t="str">
        <f>IF(TRIM(J388)="","NULL",IFERROR(VLOOKUP(TRIM(J388),Lookup_PropertyType!$A:$B,2,FALSE()),"other"))</f>
        <v>apartment</v>
      </c>
      <c r="P388">
        <f t="shared" si="6"/>
        <v>1</v>
      </c>
    </row>
    <row r="389" spans="1:16" ht="15.75" customHeight="1" x14ac:dyDescent="0.35">
      <c r="A389" s="13">
        <v>388</v>
      </c>
      <c r="B389" s="14">
        <v>45774</v>
      </c>
      <c r="C389" s="14">
        <v>45855</v>
      </c>
      <c r="D389" s="16" t="s">
        <v>32</v>
      </c>
      <c r="E389" s="17">
        <v>16000</v>
      </c>
      <c r="F389" s="18"/>
      <c r="G389" s="18"/>
      <c r="H389" s="19">
        <v>650000</v>
      </c>
      <c r="I389" s="19">
        <v>150000</v>
      </c>
      <c r="J389" s="20" t="s">
        <v>37</v>
      </c>
      <c r="K389" s="13">
        <v>42</v>
      </c>
      <c r="L389" s="21" t="s">
        <v>38</v>
      </c>
      <c r="M389" s="21" t="s">
        <v>39</v>
      </c>
      <c r="N389" s="16" t="s">
        <v>42</v>
      </c>
      <c r="O389" t="str">
        <f>IF(TRIM(J389)="","NULL",IFERROR(VLOOKUP(TRIM(J389),Lookup_PropertyType!$A:$B,2,FALSE()),"other"))</f>
        <v>house</v>
      </c>
      <c r="P389">
        <f t="shared" si="6"/>
        <v>1</v>
      </c>
    </row>
    <row r="390" spans="1:16" ht="15.75" customHeight="1" x14ac:dyDescent="0.35">
      <c r="A390" s="13">
        <v>389</v>
      </c>
      <c r="B390" s="14">
        <v>45828</v>
      </c>
      <c r="C390" s="15"/>
      <c r="D390" s="16" t="s">
        <v>58</v>
      </c>
      <c r="E390" s="17">
        <v>6000</v>
      </c>
      <c r="F390" s="18"/>
      <c r="G390" s="18"/>
      <c r="H390" s="19">
        <v>220000</v>
      </c>
      <c r="I390" s="19">
        <v>265272</v>
      </c>
      <c r="J390" s="20" t="s">
        <v>33</v>
      </c>
      <c r="K390" s="13">
        <v>58</v>
      </c>
      <c r="L390" s="21" t="s">
        <v>45</v>
      </c>
      <c r="M390" s="21" t="s">
        <v>48</v>
      </c>
      <c r="N390" s="16" t="s">
        <v>50</v>
      </c>
      <c r="O390" t="str">
        <f>IF(TRIM(J390)="","NULL",IFERROR(VLOOKUP(TRIM(J390),Lookup_PropertyType!$A:$B,2,FALSE()),"other"))</f>
        <v>apartment</v>
      </c>
      <c r="P390">
        <f t="shared" si="6"/>
        <v>0</v>
      </c>
    </row>
    <row r="391" spans="1:16" ht="15.75" customHeight="1" x14ac:dyDescent="0.35">
      <c r="A391" s="13">
        <v>390</v>
      </c>
      <c r="B391" s="14">
        <v>45897</v>
      </c>
      <c r="C391" s="15"/>
      <c r="D391" s="16" t="s">
        <v>32</v>
      </c>
      <c r="E391" s="17">
        <v>15000</v>
      </c>
      <c r="F391" s="18"/>
      <c r="G391" s="18"/>
      <c r="H391" s="19">
        <v>700000</v>
      </c>
      <c r="I391" s="19">
        <v>126000</v>
      </c>
      <c r="J391" s="20" t="s">
        <v>33</v>
      </c>
      <c r="K391" s="13">
        <v>41</v>
      </c>
      <c r="L391" s="21" t="s">
        <v>34</v>
      </c>
      <c r="M391" s="21" t="s">
        <v>39</v>
      </c>
      <c r="N391" s="16" t="s">
        <v>42</v>
      </c>
      <c r="O391" t="str">
        <f>IF(TRIM(J391)="","NULL",IFERROR(VLOOKUP(TRIM(J391),Lookup_PropertyType!$A:$B,2,FALSE()),"other"))</f>
        <v>apartment</v>
      </c>
      <c r="P391">
        <f t="shared" si="6"/>
        <v>0</v>
      </c>
    </row>
    <row r="392" spans="1:16" ht="15.75" customHeight="1" x14ac:dyDescent="0.35">
      <c r="A392" s="13">
        <v>391</v>
      </c>
      <c r="B392" s="14">
        <v>45855</v>
      </c>
      <c r="C392" s="15"/>
      <c r="D392" s="16" t="s">
        <v>32</v>
      </c>
      <c r="E392" s="17">
        <v>15000</v>
      </c>
      <c r="F392" s="18"/>
      <c r="G392" s="18"/>
      <c r="H392" s="19">
        <v>1000000</v>
      </c>
      <c r="I392" s="19">
        <v>150000</v>
      </c>
      <c r="J392" s="20" t="s">
        <v>37</v>
      </c>
      <c r="K392" s="13">
        <v>51</v>
      </c>
      <c r="L392" s="21" t="s">
        <v>34</v>
      </c>
      <c r="M392" s="21" t="s">
        <v>39</v>
      </c>
      <c r="N392" s="16" t="s">
        <v>42</v>
      </c>
      <c r="O392" t="str">
        <f>IF(TRIM(J392)="","NULL",IFERROR(VLOOKUP(TRIM(J392),Lookup_PropertyType!$A:$B,2,FALSE()),"other"))</f>
        <v>house</v>
      </c>
      <c r="P392">
        <f t="shared" si="6"/>
        <v>0</v>
      </c>
    </row>
    <row r="393" spans="1:16" ht="15.75" customHeight="1" x14ac:dyDescent="0.35">
      <c r="A393" s="13">
        <v>392</v>
      </c>
      <c r="B393" s="14">
        <v>45775</v>
      </c>
      <c r="C393" s="15"/>
      <c r="D393" s="16" t="s">
        <v>32</v>
      </c>
      <c r="E393" s="17">
        <v>21000</v>
      </c>
      <c r="F393" s="18"/>
      <c r="G393" s="18"/>
      <c r="H393" s="19">
        <v>350000</v>
      </c>
      <c r="I393" s="19">
        <v>150000</v>
      </c>
      <c r="J393" s="20" t="s">
        <v>33</v>
      </c>
      <c r="K393" s="13">
        <v>53</v>
      </c>
      <c r="L393" s="21" t="s">
        <v>38</v>
      </c>
      <c r="M393" s="21" t="s">
        <v>54</v>
      </c>
      <c r="N393" s="16" t="s">
        <v>42</v>
      </c>
      <c r="O393" t="str">
        <f>IF(TRIM(J393)="","NULL",IFERROR(VLOOKUP(TRIM(J393),Lookup_PropertyType!$A:$B,2,FALSE()),"other"))</f>
        <v>apartment</v>
      </c>
      <c r="P393">
        <f t="shared" si="6"/>
        <v>0</v>
      </c>
    </row>
    <row r="394" spans="1:16" ht="15.75" customHeight="1" x14ac:dyDescent="0.35">
      <c r="A394" s="13">
        <v>393</v>
      </c>
      <c r="B394" s="14">
        <v>45806</v>
      </c>
      <c r="C394" s="15"/>
      <c r="D394" s="16" t="s">
        <v>32</v>
      </c>
      <c r="E394" s="17">
        <v>10000</v>
      </c>
      <c r="F394" s="18"/>
      <c r="G394" s="18"/>
      <c r="H394" s="19">
        <v>280000</v>
      </c>
      <c r="I394" s="19">
        <v>50000</v>
      </c>
      <c r="J394" s="20" t="s">
        <v>33</v>
      </c>
      <c r="K394" s="13">
        <v>52</v>
      </c>
      <c r="L394" s="21" t="s">
        <v>38</v>
      </c>
      <c r="M394" s="21" t="s">
        <v>39</v>
      </c>
      <c r="N394" s="16" t="s">
        <v>36</v>
      </c>
      <c r="O394" t="str">
        <f>IF(TRIM(J394)="","NULL",IFERROR(VLOOKUP(TRIM(J394),Lookup_PropertyType!$A:$B,2,FALSE()),"other"))</f>
        <v>apartment</v>
      </c>
      <c r="P394">
        <f t="shared" si="6"/>
        <v>0</v>
      </c>
    </row>
    <row r="395" spans="1:16" ht="15.75" customHeight="1" x14ac:dyDescent="0.35">
      <c r="A395" s="13">
        <v>394</v>
      </c>
      <c r="B395" s="14">
        <v>45894</v>
      </c>
      <c r="C395" s="15"/>
      <c r="D395" s="16" t="s">
        <v>32</v>
      </c>
      <c r="E395" s="17">
        <v>7000</v>
      </c>
      <c r="F395" s="18"/>
      <c r="G395" s="18"/>
      <c r="H395" s="19">
        <v>380000</v>
      </c>
      <c r="I395" s="19">
        <v>60000</v>
      </c>
      <c r="J395" s="20" t="s">
        <v>33</v>
      </c>
      <c r="K395" s="13">
        <v>65</v>
      </c>
      <c r="L395" s="21" t="s">
        <v>45</v>
      </c>
      <c r="M395" s="21" t="s">
        <v>39</v>
      </c>
      <c r="N395" s="16" t="s">
        <v>43</v>
      </c>
      <c r="O395" t="str">
        <f>IF(TRIM(J395)="","NULL",IFERROR(VLOOKUP(TRIM(J395),Lookup_PropertyType!$A:$B,2,FALSE()),"other"))</f>
        <v>apartment</v>
      </c>
      <c r="P395">
        <f t="shared" si="6"/>
        <v>0</v>
      </c>
    </row>
    <row r="396" spans="1:16" ht="15.75" customHeight="1" x14ac:dyDescent="0.35">
      <c r="A396" s="13">
        <v>395</v>
      </c>
      <c r="B396" s="14">
        <v>45792</v>
      </c>
      <c r="C396" s="15"/>
      <c r="D396" s="16" t="s">
        <v>32</v>
      </c>
      <c r="E396" s="17">
        <v>9000</v>
      </c>
      <c r="F396" s="18"/>
      <c r="G396" s="18"/>
      <c r="H396" s="19">
        <v>400000</v>
      </c>
      <c r="I396" s="19">
        <v>200000</v>
      </c>
      <c r="J396" s="20" t="s">
        <v>33</v>
      </c>
      <c r="K396" s="13">
        <v>52</v>
      </c>
      <c r="L396" s="21" t="s">
        <v>38</v>
      </c>
      <c r="M396" s="21" t="s">
        <v>39</v>
      </c>
      <c r="N396" s="16" t="s">
        <v>36</v>
      </c>
      <c r="O396" t="str">
        <f>IF(TRIM(J396)="","NULL",IFERROR(VLOOKUP(TRIM(J396),Lookup_PropertyType!$A:$B,2,FALSE()),"other"))</f>
        <v>apartment</v>
      </c>
      <c r="P396">
        <f t="shared" si="6"/>
        <v>0</v>
      </c>
    </row>
    <row r="397" spans="1:16" ht="15.75" customHeight="1" x14ac:dyDescent="0.35">
      <c r="A397" s="13">
        <v>396</v>
      </c>
      <c r="B397" s="14">
        <v>45814</v>
      </c>
      <c r="C397" s="15"/>
      <c r="D397" s="16" t="s">
        <v>58</v>
      </c>
      <c r="E397" s="17">
        <v>8000</v>
      </c>
      <c r="F397" s="18"/>
      <c r="G397" s="18"/>
      <c r="H397" s="19">
        <v>650000</v>
      </c>
      <c r="I397" s="19">
        <v>40000</v>
      </c>
      <c r="J397" s="20" t="s">
        <v>37</v>
      </c>
      <c r="K397" s="13">
        <v>48</v>
      </c>
      <c r="L397" s="21" t="s">
        <v>45</v>
      </c>
      <c r="M397" s="21" t="s">
        <v>54</v>
      </c>
      <c r="N397" s="16" t="s">
        <v>50</v>
      </c>
      <c r="O397" t="str">
        <f>IF(TRIM(J397)="","NULL",IFERROR(VLOOKUP(TRIM(J397),Lookup_PropertyType!$A:$B,2,FALSE()),"other"))</f>
        <v>house</v>
      </c>
      <c r="P397">
        <f t="shared" si="6"/>
        <v>0</v>
      </c>
    </row>
    <row r="398" spans="1:16" ht="15.75" customHeight="1" x14ac:dyDescent="0.35">
      <c r="A398" s="13">
        <v>397</v>
      </c>
      <c r="B398" s="14">
        <v>45865</v>
      </c>
      <c r="C398" s="15"/>
      <c r="D398" s="16" t="s">
        <v>57</v>
      </c>
      <c r="E398" s="17">
        <v>54000</v>
      </c>
      <c r="F398" s="18"/>
      <c r="G398" s="18"/>
      <c r="H398" s="19">
        <v>2500000</v>
      </c>
      <c r="I398" s="19">
        <v>1000000</v>
      </c>
      <c r="J398" s="20" t="s">
        <v>37</v>
      </c>
      <c r="K398" s="13">
        <v>49</v>
      </c>
      <c r="L398" s="21" t="s">
        <v>38</v>
      </c>
      <c r="M398" s="21" t="s">
        <v>39</v>
      </c>
      <c r="N398" s="16" t="s">
        <v>36</v>
      </c>
      <c r="O398" t="str">
        <f>IF(TRIM(J398)="","NULL",IFERROR(VLOOKUP(TRIM(J398),Lookup_PropertyType!$A:$B,2,FALSE()),"other"))</f>
        <v>house</v>
      </c>
      <c r="P398">
        <f t="shared" si="6"/>
        <v>0</v>
      </c>
    </row>
    <row r="399" spans="1:16" ht="15.75" customHeight="1" x14ac:dyDescent="0.35">
      <c r="A399" s="13">
        <v>398</v>
      </c>
      <c r="B399" s="14">
        <v>45792</v>
      </c>
      <c r="C399" s="15"/>
      <c r="D399" s="16" t="s">
        <v>32</v>
      </c>
      <c r="E399" s="17">
        <v>4500</v>
      </c>
      <c r="F399" s="18"/>
      <c r="G399" s="18"/>
      <c r="H399" s="19">
        <v>320000</v>
      </c>
      <c r="I399" s="19">
        <v>80000</v>
      </c>
      <c r="J399" s="20" t="s">
        <v>37</v>
      </c>
      <c r="K399" s="13">
        <v>63</v>
      </c>
      <c r="L399" s="21" t="s">
        <v>38</v>
      </c>
      <c r="M399" s="21" t="s">
        <v>35</v>
      </c>
      <c r="N399" s="16" t="s">
        <v>42</v>
      </c>
      <c r="O399" t="str">
        <f>IF(TRIM(J399)="","NULL",IFERROR(VLOOKUP(TRIM(J399),Lookup_PropertyType!$A:$B,2,FALSE()),"other"))</f>
        <v>house</v>
      </c>
      <c r="P399">
        <f t="shared" si="6"/>
        <v>0</v>
      </c>
    </row>
    <row r="400" spans="1:16" ht="15.75" customHeight="1" x14ac:dyDescent="0.35">
      <c r="A400" s="13">
        <v>399</v>
      </c>
      <c r="B400" s="14">
        <v>45838</v>
      </c>
      <c r="C400" s="15"/>
      <c r="D400" s="16" t="s">
        <v>32</v>
      </c>
      <c r="E400" s="17">
        <v>8000</v>
      </c>
      <c r="F400" s="18"/>
      <c r="G400" s="18"/>
      <c r="H400" s="19">
        <v>380000</v>
      </c>
      <c r="I400" s="19">
        <v>100000</v>
      </c>
      <c r="J400" s="20" t="s">
        <v>33</v>
      </c>
      <c r="K400" s="13">
        <v>58</v>
      </c>
      <c r="L400" s="21" t="s">
        <v>38</v>
      </c>
      <c r="M400" s="21" t="s">
        <v>35</v>
      </c>
      <c r="N400" s="16" t="s">
        <v>43</v>
      </c>
      <c r="O400" t="str">
        <f>IF(TRIM(J400)="","NULL",IFERROR(VLOOKUP(TRIM(J400),Lookup_PropertyType!$A:$B,2,FALSE()),"other"))</f>
        <v>apartment</v>
      </c>
      <c r="P400">
        <f t="shared" si="6"/>
        <v>0</v>
      </c>
    </row>
    <row r="401" spans="1:16" ht="15.75" customHeight="1" x14ac:dyDescent="0.35">
      <c r="A401" s="13">
        <v>400</v>
      </c>
      <c r="B401" s="14">
        <v>45810</v>
      </c>
      <c r="C401" s="14">
        <v>45851</v>
      </c>
      <c r="D401" s="16" t="s">
        <v>32</v>
      </c>
      <c r="E401" s="17">
        <v>8000</v>
      </c>
      <c r="F401" s="18"/>
      <c r="G401" s="18"/>
      <c r="H401" s="19">
        <v>240000</v>
      </c>
      <c r="I401" s="19">
        <v>100000</v>
      </c>
      <c r="J401" s="20" t="s">
        <v>33</v>
      </c>
      <c r="K401" s="13">
        <v>68</v>
      </c>
      <c r="L401" s="21" t="s">
        <v>38</v>
      </c>
      <c r="M401" s="21" t="s">
        <v>39</v>
      </c>
      <c r="N401" s="16" t="s">
        <v>43</v>
      </c>
      <c r="O401" t="str">
        <f>IF(TRIM(J401)="","NULL",IFERROR(VLOOKUP(TRIM(J401),Lookup_PropertyType!$A:$B,2,FALSE()),"other"))</f>
        <v>apartment</v>
      </c>
      <c r="P401">
        <f t="shared" si="6"/>
        <v>1</v>
      </c>
    </row>
    <row r="402" spans="1:16" ht="15.75" customHeight="1" x14ac:dyDescent="0.35">
      <c r="A402" s="13">
        <v>401</v>
      </c>
      <c r="B402" s="14">
        <v>45841</v>
      </c>
      <c r="C402" s="14">
        <v>45858</v>
      </c>
      <c r="D402" s="16" t="s">
        <v>32</v>
      </c>
      <c r="E402" s="17">
        <v>30000</v>
      </c>
      <c r="F402" s="18"/>
      <c r="G402" s="18"/>
      <c r="H402" s="19">
        <v>900000</v>
      </c>
      <c r="I402" s="19">
        <v>300000</v>
      </c>
      <c r="J402" s="20" t="s">
        <v>33</v>
      </c>
      <c r="K402" s="13">
        <v>52</v>
      </c>
      <c r="L402" s="21" t="s">
        <v>45</v>
      </c>
      <c r="M402" s="21" t="s">
        <v>39</v>
      </c>
      <c r="N402" s="16" t="s">
        <v>36</v>
      </c>
      <c r="O402" t="str">
        <f>IF(TRIM(J402)="","NULL",IFERROR(VLOOKUP(TRIM(J402),Lookup_PropertyType!$A:$B,2,FALSE()),"other"))</f>
        <v>apartment</v>
      </c>
      <c r="P402">
        <f t="shared" si="6"/>
        <v>1</v>
      </c>
    </row>
    <row r="403" spans="1:16" ht="15.75" customHeight="1" x14ac:dyDescent="0.35">
      <c r="A403" s="13">
        <v>402</v>
      </c>
      <c r="B403" s="14">
        <v>45856</v>
      </c>
      <c r="C403" s="14">
        <v>45905</v>
      </c>
      <c r="D403" s="16" t="s">
        <v>32</v>
      </c>
      <c r="E403" s="17">
        <v>16000</v>
      </c>
      <c r="F403" s="18"/>
      <c r="G403" s="18"/>
      <c r="H403" s="19">
        <v>500000</v>
      </c>
      <c r="I403" s="19">
        <v>70000</v>
      </c>
      <c r="J403" s="20" t="s">
        <v>33</v>
      </c>
      <c r="K403" s="13">
        <v>46</v>
      </c>
      <c r="L403" s="21" t="s">
        <v>34</v>
      </c>
      <c r="M403" s="21" t="s">
        <v>54</v>
      </c>
      <c r="N403" s="16" t="s">
        <v>42</v>
      </c>
      <c r="O403" t="str">
        <f>IF(TRIM(J403)="","NULL",IFERROR(VLOOKUP(TRIM(J403),Lookup_PropertyType!$A:$B,2,FALSE()),"other"))</f>
        <v>apartment</v>
      </c>
      <c r="P403">
        <f t="shared" si="6"/>
        <v>1</v>
      </c>
    </row>
    <row r="404" spans="1:16" ht="15.75" customHeight="1" x14ac:dyDescent="0.35">
      <c r="A404" s="13">
        <v>403</v>
      </c>
      <c r="B404" s="14">
        <v>45831</v>
      </c>
      <c r="C404" s="14">
        <v>45935</v>
      </c>
      <c r="D404" s="16" t="s">
        <v>55</v>
      </c>
      <c r="E404" s="17">
        <v>6000</v>
      </c>
      <c r="F404" s="18"/>
      <c r="G404" s="18"/>
      <c r="H404" s="19">
        <v>300000</v>
      </c>
      <c r="I404" s="19">
        <v>30000</v>
      </c>
      <c r="J404" s="22" t="s">
        <v>37</v>
      </c>
      <c r="K404" s="13">
        <v>33</v>
      </c>
      <c r="L404" s="21" t="s">
        <v>59</v>
      </c>
      <c r="M404" s="21" t="s">
        <v>39</v>
      </c>
      <c r="N404" s="16" t="s">
        <v>42</v>
      </c>
      <c r="O404" t="str">
        <f>IF(TRIM(J404)="","NULL",IFERROR(VLOOKUP(TRIM(J404),Lookup_PropertyType!$A:$B,2,FALSE()),"other"))</f>
        <v>house</v>
      </c>
      <c r="P404">
        <f t="shared" si="6"/>
        <v>1</v>
      </c>
    </row>
    <row r="405" spans="1:16" ht="15.75" customHeight="1" x14ac:dyDescent="0.35">
      <c r="A405" s="13">
        <v>404</v>
      </c>
      <c r="B405" s="14">
        <v>45849</v>
      </c>
      <c r="C405" s="15"/>
      <c r="D405" s="16" t="s">
        <v>77</v>
      </c>
      <c r="E405" s="17">
        <v>9361</v>
      </c>
      <c r="F405" s="18"/>
      <c r="G405" s="18"/>
      <c r="H405" s="19">
        <v>600000</v>
      </c>
      <c r="I405" s="19">
        <v>100000</v>
      </c>
      <c r="J405" s="22" t="s">
        <v>37</v>
      </c>
      <c r="K405" s="13">
        <v>69</v>
      </c>
      <c r="L405" s="21" t="s">
        <v>38</v>
      </c>
      <c r="M405" s="21" t="s">
        <v>39</v>
      </c>
      <c r="N405" s="16" t="s">
        <v>43</v>
      </c>
      <c r="O405" t="str">
        <f>IF(TRIM(J405)="","NULL",IFERROR(VLOOKUP(TRIM(J405),Lookup_PropertyType!$A:$B,2,FALSE()),"other"))</f>
        <v>house</v>
      </c>
      <c r="P405">
        <f t="shared" si="6"/>
        <v>0</v>
      </c>
    </row>
    <row r="406" spans="1:16" ht="15.75" customHeight="1" x14ac:dyDescent="0.35">
      <c r="A406" s="13">
        <v>405</v>
      </c>
      <c r="B406" s="14">
        <v>45803</v>
      </c>
      <c r="C406" s="15"/>
      <c r="D406" s="16" t="s">
        <v>32</v>
      </c>
      <c r="E406" s="17">
        <v>4800</v>
      </c>
      <c r="F406" s="18"/>
      <c r="G406" s="18"/>
      <c r="H406" s="19">
        <v>550000</v>
      </c>
      <c r="I406" s="19">
        <v>30000</v>
      </c>
      <c r="J406" s="22" t="s">
        <v>37</v>
      </c>
      <c r="K406" s="13">
        <v>56</v>
      </c>
      <c r="L406" s="21" t="s">
        <v>59</v>
      </c>
      <c r="M406" s="21" t="s">
        <v>54</v>
      </c>
      <c r="N406" s="16" t="s">
        <v>48</v>
      </c>
      <c r="O406" t="str">
        <f>IF(TRIM(J406)="","NULL",IFERROR(VLOOKUP(TRIM(J406),Lookup_PropertyType!$A:$B,2,FALSE()),"other"))</f>
        <v>house</v>
      </c>
      <c r="P406">
        <f t="shared" si="6"/>
        <v>0</v>
      </c>
    </row>
    <row r="407" spans="1:16" ht="15.75" customHeight="1" x14ac:dyDescent="0.35">
      <c r="A407" s="13">
        <v>406</v>
      </c>
      <c r="B407" s="14">
        <v>45780</v>
      </c>
      <c r="C407" s="14">
        <v>45844</v>
      </c>
      <c r="D407" s="16" t="s">
        <v>32</v>
      </c>
      <c r="E407" s="17">
        <v>20000</v>
      </c>
      <c r="F407" s="18"/>
      <c r="G407" s="18"/>
      <c r="H407" s="19">
        <v>1100000</v>
      </c>
      <c r="I407" s="19">
        <v>150000</v>
      </c>
      <c r="J407" s="22" t="s">
        <v>37</v>
      </c>
      <c r="K407" s="13">
        <v>66</v>
      </c>
      <c r="L407" s="21" t="s">
        <v>38</v>
      </c>
      <c r="M407" s="21" t="s">
        <v>39</v>
      </c>
      <c r="N407" s="16" t="s">
        <v>43</v>
      </c>
      <c r="O407" t="str">
        <f>IF(TRIM(J407)="","NULL",IFERROR(VLOOKUP(TRIM(J407),Lookup_PropertyType!$A:$B,2,FALSE()),"other"))</f>
        <v>house</v>
      </c>
      <c r="P407">
        <f t="shared" si="6"/>
        <v>1</v>
      </c>
    </row>
    <row r="408" spans="1:16" ht="15.75" customHeight="1" x14ac:dyDescent="0.35">
      <c r="A408" s="13">
        <v>407</v>
      </c>
      <c r="B408" s="14">
        <v>45873</v>
      </c>
      <c r="C408" s="14">
        <v>45901</v>
      </c>
      <c r="D408" s="16" t="s">
        <v>32</v>
      </c>
      <c r="E408" s="17">
        <v>4400</v>
      </c>
      <c r="F408" s="18"/>
      <c r="G408" s="18"/>
      <c r="H408" s="19">
        <v>350000</v>
      </c>
      <c r="I408" s="19">
        <v>60000</v>
      </c>
      <c r="J408" s="22" t="s">
        <v>33</v>
      </c>
      <c r="K408" s="13">
        <v>44</v>
      </c>
      <c r="L408" s="21" t="s">
        <v>45</v>
      </c>
      <c r="M408" s="21" t="s">
        <v>39</v>
      </c>
      <c r="N408" s="16" t="s">
        <v>36</v>
      </c>
      <c r="O408" t="str">
        <f>IF(TRIM(J408)="","NULL",IFERROR(VLOOKUP(TRIM(J408),Lookup_PropertyType!$A:$B,2,FALSE()),"other"))</f>
        <v>apartment</v>
      </c>
      <c r="P408">
        <f t="shared" si="6"/>
        <v>1</v>
      </c>
    </row>
    <row r="409" spans="1:16" ht="15.75" customHeight="1" x14ac:dyDescent="0.35">
      <c r="A409" s="13">
        <v>408</v>
      </c>
      <c r="B409" s="14">
        <v>45837</v>
      </c>
      <c r="C409" s="15"/>
      <c r="D409" s="16" t="s">
        <v>32</v>
      </c>
      <c r="E409" s="17">
        <v>150000</v>
      </c>
      <c r="F409" s="18"/>
      <c r="G409" s="18"/>
      <c r="H409" s="19">
        <v>1500000</v>
      </c>
      <c r="I409" s="19">
        <v>700000</v>
      </c>
      <c r="J409" s="22" t="s">
        <v>33</v>
      </c>
      <c r="K409" s="13">
        <v>28</v>
      </c>
      <c r="L409" s="21" t="s">
        <v>41</v>
      </c>
      <c r="M409" s="21" t="s">
        <v>39</v>
      </c>
      <c r="N409" s="16" t="s">
        <v>42</v>
      </c>
      <c r="O409" t="str">
        <f>IF(TRIM(J409)="","NULL",IFERROR(VLOOKUP(TRIM(J409),Lookup_PropertyType!$A:$B,2,FALSE()),"other"))</f>
        <v>apartment</v>
      </c>
      <c r="P409">
        <f t="shared" si="6"/>
        <v>0</v>
      </c>
    </row>
    <row r="410" spans="1:16" ht="15.75" customHeight="1" x14ac:dyDescent="0.35">
      <c r="A410" s="13">
        <v>409</v>
      </c>
      <c r="B410" s="14">
        <v>45803</v>
      </c>
      <c r="C410" s="14">
        <v>45929</v>
      </c>
      <c r="D410" s="16" t="s">
        <v>32</v>
      </c>
      <c r="E410" s="17">
        <v>25000</v>
      </c>
      <c r="F410" s="18"/>
      <c r="G410" s="18"/>
      <c r="H410" s="19">
        <v>550000</v>
      </c>
      <c r="I410" s="19">
        <v>120000</v>
      </c>
      <c r="J410" s="22" t="s">
        <v>33</v>
      </c>
      <c r="K410" s="13">
        <v>39</v>
      </c>
      <c r="L410" s="21" t="s">
        <v>59</v>
      </c>
      <c r="M410" s="21" t="s">
        <v>39</v>
      </c>
      <c r="N410" s="16" t="s">
        <v>36</v>
      </c>
      <c r="O410" t="str">
        <f>IF(TRIM(J410)="","NULL",IFERROR(VLOOKUP(TRIM(J410),Lookup_PropertyType!$A:$B,2,FALSE()),"other"))</f>
        <v>apartment</v>
      </c>
      <c r="P410">
        <f t="shared" si="6"/>
        <v>1</v>
      </c>
    </row>
    <row r="411" spans="1:16" ht="15.75" customHeight="1" x14ac:dyDescent="0.35">
      <c r="A411" s="13">
        <v>410</v>
      </c>
      <c r="B411" s="14">
        <v>45855</v>
      </c>
      <c r="C411" s="15"/>
      <c r="D411" s="16" t="s">
        <v>44</v>
      </c>
      <c r="E411" s="17">
        <v>9000</v>
      </c>
      <c r="F411" s="18"/>
      <c r="G411" s="18"/>
      <c r="H411" s="19">
        <v>350000</v>
      </c>
      <c r="I411" s="19">
        <v>90000</v>
      </c>
      <c r="J411" s="22" t="s">
        <v>33</v>
      </c>
      <c r="K411" s="13">
        <v>62</v>
      </c>
      <c r="L411" s="21" t="s">
        <v>38</v>
      </c>
      <c r="M411" s="21" t="s">
        <v>39</v>
      </c>
      <c r="N411" s="16" t="s">
        <v>50</v>
      </c>
      <c r="O411" t="str">
        <f>IF(TRIM(J411)="","NULL",IFERROR(VLOOKUP(TRIM(J411),Lookup_PropertyType!$A:$B,2,FALSE()),"other"))</f>
        <v>apartment</v>
      </c>
      <c r="P411">
        <f t="shared" si="6"/>
        <v>0</v>
      </c>
    </row>
    <row r="412" spans="1:16" ht="15.75" customHeight="1" x14ac:dyDescent="0.35">
      <c r="A412" s="13">
        <v>411</v>
      </c>
      <c r="B412" s="14">
        <v>45820</v>
      </c>
      <c r="C412" s="15"/>
      <c r="D412" s="16" t="s">
        <v>32</v>
      </c>
      <c r="E412" s="17">
        <v>8000</v>
      </c>
      <c r="F412" s="18"/>
      <c r="G412" s="18"/>
      <c r="H412" s="19">
        <v>450000</v>
      </c>
      <c r="I412" s="19">
        <v>110000</v>
      </c>
      <c r="J412" s="22" t="s">
        <v>37</v>
      </c>
      <c r="K412" s="13">
        <v>64</v>
      </c>
      <c r="L412" s="21" t="s">
        <v>59</v>
      </c>
      <c r="M412" s="21" t="s">
        <v>39</v>
      </c>
      <c r="N412" s="16" t="s">
        <v>43</v>
      </c>
      <c r="O412" t="str">
        <f>IF(TRIM(J412)="","NULL",IFERROR(VLOOKUP(TRIM(J412),Lookup_PropertyType!$A:$B,2,FALSE()),"other"))</f>
        <v>house</v>
      </c>
      <c r="P412">
        <f t="shared" si="6"/>
        <v>0</v>
      </c>
    </row>
    <row r="413" spans="1:16" ht="15.75" customHeight="1" x14ac:dyDescent="0.35">
      <c r="A413" s="13">
        <v>412</v>
      </c>
      <c r="B413" s="14">
        <v>45827</v>
      </c>
      <c r="C413" s="15"/>
      <c r="D413" s="16" t="s">
        <v>32</v>
      </c>
      <c r="E413" s="17">
        <v>30000</v>
      </c>
      <c r="F413" s="18"/>
      <c r="G413" s="18"/>
      <c r="H413" s="19">
        <v>2200000</v>
      </c>
      <c r="I413" s="19">
        <v>500000</v>
      </c>
      <c r="J413" s="22" t="s">
        <v>37</v>
      </c>
      <c r="K413" s="13">
        <v>71</v>
      </c>
      <c r="L413" s="21" t="s">
        <v>41</v>
      </c>
      <c r="M413" s="21" t="s">
        <v>39</v>
      </c>
      <c r="N413" s="16" t="s">
        <v>43</v>
      </c>
      <c r="O413" t="str">
        <f>IF(TRIM(J413)="","NULL",IFERROR(VLOOKUP(TRIM(J413),Lookup_PropertyType!$A:$B,2,FALSE()),"other"))</f>
        <v>house</v>
      </c>
      <c r="P413">
        <f t="shared" si="6"/>
        <v>0</v>
      </c>
    </row>
    <row r="414" spans="1:16" ht="15.75" customHeight="1" x14ac:dyDescent="0.35">
      <c r="A414" s="13">
        <v>413</v>
      </c>
      <c r="B414" s="14">
        <v>45806</v>
      </c>
      <c r="C414" s="14">
        <v>45929</v>
      </c>
      <c r="D414" s="16" t="s">
        <v>46</v>
      </c>
      <c r="E414" s="17">
        <v>13000</v>
      </c>
      <c r="F414" s="18"/>
      <c r="G414" s="18"/>
      <c r="H414" s="19">
        <v>1000000</v>
      </c>
      <c r="I414" s="19">
        <v>40000</v>
      </c>
      <c r="J414" s="22" t="s">
        <v>37</v>
      </c>
      <c r="K414" s="13">
        <v>56</v>
      </c>
      <c r="L414" s="21" t="s">
        <v>38</v>
      </c>
      <c r="M414" s="21" t="s">
        <v>39</v>
      </c>
      <c r="N414" s="16" t="s">
        <v>42</v>
      </c>
      <c r="O414" t="str">
        <f>IF(TRIM(J414)="","NULL",IFERROR(VLOOKUP(TRIM(J414),Lookup_PropertyType!$A:$B,2,FALSE()),"other"))</f>
        <v>house</v>
      </c>
      <c r="P414">
        <f t="shared" si="6"/>
        <v>1</v>
      </c>
    </row>
    <row r="415" spans="1:16" ht="15.75" customHeight="1" x14ac:dyDescent="0.35">
      <c r="A415" s="13">
        <v>414</v>
      </c>
      <c r="B415" s="14">
        <v>45809</v>
      </c>
      <c r="C415" s="15"/>
      <c r="D415" s="16" t="s">
        <v>32</v>
      </c>
      <c r="E415" s="17">
        <v>15330</v>
      </c>
      <c r="F415" s="18"/>
      <c r="G415" s="18"/>
      <c r="H415" s="19">
        <v>400000</v>
      </c>
      <c r="I415" s="19">
        <v>70000</v>
      </c>
      <c r="J415" s="22" t="s">
        <v>33</v>
      </c>
      <c r="K415" s="13">
        <v>36</v>
      </c>
      <c r="L415" s="21" t="s">
        <v>38</v>
      </c>
      <c r="M415" s="21" t="s">
        <v>39</v>
      </c>
      <c r="N415" s="16" t="s">
        <v>42</v>
      </c>
      <c r="O415" t="str">
        <f>IF(TRIM(J415)="","NULL",IFERROR(VLOOKUP(TRIM(J415),Lookup_PropertyType!$A:$B,2,FALSE()),"other"))</f>
        <v>apartment</v>
      </c>
      <c r="P415">
        <f t="shared" si="6"/>
        <v>0</v>
      </c>
    </row>
    <row r="416" spans="1:16" ht="15.75" customHeight="1" x14ac:dyDescent="0.35">
      <c r="A416" s="13">
        <v>415</v>
      </c>
      <c r="B416" s="14">
        <v>45810</v>
      </c>
      <c r="C416" s="15"/>
      <c r="D416" s="16" t="s">
        <v>32</v>
      </c>
      <c r="E416" s="17">
        <v>7229.12</v>
      </c>
      <c r="F416" s="18"/>
      <c r="G416" s="18"/>
      <c r="H416" s="19">
        <v>450000</v>
      </c>
      <c r="I416" s="19">
        <v>100000</v>
      </c>
      <c r="J416" s="22" t="s">
        <v>37</v>
      </c>
      <c r="K416" s="13">
        <v>50</v>
      </c>
      <c r="L416" s="21" t="s">
        <v>38</v>
      </c>
      <c r="M416" s="21" t="s">
        <v>39</v>
      </c>
      <c r="N416" s="16" t="s">
        <v>50</v>
      </c>
      <c r="O416" t="str">
        <f>IF(TRIM(J416)="","NULL",IFERROR(VLOOKUP(TRIM(J416),Lookup_PropertyType!$A:$B,2,FALSE()),"other"))</f>
        <v>house</v>
      </c>
      <c r="P416">
        <f t="shared" si="6"/>
        <v>0</v>
      </c>
    </row>
    <row r="417" spans="1:16" ht="15.75" customHeight="1" x14ac:dyDescent="0.35">
      <c r="A417" s="13">
        <v>416</v>
      </c>
      <c r="B417" s="14">
        <v>45795</v>
      </c>
      <c r="C417" s="15"/>
      <c r="D417" s="16" t="s">
        <v>32</v>
      </c>
      <c r="E417" s="17">
        <v>3500</v>
      </c>
      <c r="F417" s="18"/>
      <c r="G417" s="18"/>
      <c r="H417" s="19">
        <v>200000</v>
      </c>
      <c r="I417" s="19">
        <v>30000</v>
      </c>
      <c r="J417" s="22" t="s">
        <v>33</v>
      </c>
      <c r="K417" s="13">
        <v>35</v>
      </c>
      <c r="L417" s="21" t="s">
        <v>38</v>
      </c>
      <c r="M417" s="21" t="s">
        <v>35</v>
      </c>
      <c r="N417" s="16" t="s">
        <v>42</v>
      </c>
      <c r="O417" t="str">
        <f>IF(TRIM(J417)="","NULL",IFERROR(VLOOKUP(TRIM(J417),Lookup_PropertyType!$A:$B,2,FALSE()),"other"))</f>
        <v>apartment</v>
      </c>
      <c r="P417">
        <f t="shared" si="6"/>
        <v>0</v>
      </c>
    </row>
    <row r="418" spans="1:16" ht="15.75" customHeight="1" x14ac:dyDescent="0.35">
      <c r="A418" s="13">
        <v>417</v>
      </c>
      <c r="B418" s="14">
        <v>45814</v>
      </c>
      <c r="C418" s="15"/>
      <c r="D418" s="16" t="s">
        <v>57</v>
      </c>
      <c r="E418" s="17">
        <v>7000</v>
      </c>
      <c r="F418" s="18"/>
      <c r="G418" s="18"/>
      <c r="H418" s="19">
        <v>360000</v>
      </c>
      <c r="I418" s="19">
        <v>120000</v>
      </c>
      <c r="J418" s="22" t="s">
        <v>33</v>
      </c>
      <c r="K418" s="13">
        <v>33</v>
      </c>
      <c r="L418" s="21" t="s">
        <v>41</v>
      </c>
      <c r="M418" s="21" t="s">
        <v>39</v>
      </c>
      <c r="N418" s="16" t="s">
        <v>50</v>
      </c>
      <c r="O418" t="str">
        <f>IF(TRIM(J418)="","NULL",IFERROR(VLOOKUP(TRIM(J418),Lookup_PropertyType!$A:$B,2,FALSE()),"other"))</f>
        <v>apartment</v>
      </c>
      <c r="P418">
        <f t="shared" si="6"/>
        <v>0</v>
      </c>
    </row>
    <row r="419" spans="1:16" ht="15.75" customHeight="1" x14ac:dyDescent="0.35">
      <c r="A419" s="13">
        <v>418</v>
      </c>
      <c r="B419" s="14">
        <v>45955</v>
      </c>
      <c r="C419" s="15"/>
      <c r="D419" s="16" t="s">
        <v>32</v>
      </c>
      <c r="E419" s="17">
        <v>35000</v>
      </c>
      <c r="F419" s="18"/>
      <c r="G419" s="18"/>
      <c r="H419" s="19">
        <v>1200000</v>
      </c>
      <c r="I419" s="19">
        <v>600000</v>
      </c>
      <c r="J419" s="22" t="s">
        <v>37</v>
      </c>
      <c r="K419" s="13">
        <v>47</v>
      </c>
      <c r="L419" s="21" t="s">
        <v>41</v>
      </c>
      <c r="M419" s="21" t="s">
        <v>39</v>
      </c>
      <c r="N419" s="16" t="s">
        <v>36</v>
      </c>
      <c r="O419" t="str">
        <f>IF(TRIM(J419)="","NULL",IFERROR(VLOOKUP(TRIM(J419),Lookup_PropertyType!$A:$B,2,FALSE()),"other"))</f>
        <v>house</v>
      </c>
      <c r="P419">
        <f t="shared" si="6"/>
        <v>0</v>
      </c>
    </row>
    <row r="420" spans="1:16" ht="15.75" customHeight="1" x14ac:dyDescent="0.35">
      <c r="A420" s="13">
        <v>419</v>
      </c>
      <c r="B420" s="14">
        <v>46027</v>
      </c>
      <c r="C420" s="15"/>
      <c r="D420" s="16" t="s">
        <v>32</v>
      </c>
      <c r="E420" s="17">
        <v>13000</v>
      </c>
      <c r="F420" s="13">
        <v>120</v>
      </c>
      <c r="G420" s="18"/>
      <c r="H420" s="19">
        <v>350000</v>
      </c>
      <c r="I420" s="19">
        <v>30000</v>
      </c>
      <c r="J420" s="22" t="s">
        <v>33</v>
      </c>
      <c r="K420" s="13">
        <v>42</v>
      </c>
      <c r="L420" s="21" t="s">
        <v>41</v>
      </c>
      <c r="M420" s="21" t="s">
        <v>72</v>
      </c>
      <c r="N420" s="16" t="s">
        <v>51</v>
      </c>
      <c r="O420" t="str">
        <f>IF(TRIM(J420)="","NULL",IFERROR(VLOOKUP(TRIM(J420),Lookup_PropertyType!$A:$B,2,FALSE()),"other"))</f>
        <v>apartment</v>
      </c>
      <c r="P420">
        <f t="shared" si="6"/>
        <v>0</v>
      </c>
    </row>
    <row r="421" spans="1:16" ht="15.75" customHeight="1" x14ac:dyDescent="0.35">
      <c r="A421" s="13">
        <v>420</v>
      </c>
      <c r="B421" s="14">
        <v>45859</v>
      </c>
      <c r="C421" s="15"/>
      <c r="D421" s="16" t="s">
        <v>32</v>
      </c>
      <c r="E421" s="17">
        <v>45000</v>
      </c>
      <c r="F421" s="18"/>
      <c r="G421" s="18"/>
      <c r="H421" s="19">
        <v>1200000</v>
      </c>
      <c r="I421" s="19">
        <v>500000</v>
      </c>
      <c r="J421" s="22" t="s">
        <v>37</v>
      </c>
      <c r="K421" s="13">
        <v>36</v>
      </c>
      <c r="L421" s="21" t="s">
        <v>41</v>
      </c>
      <c r="M421" s="21" t="s">
        <v>39</v>
      </c>
      <c r="N421" s="16" t="s">
        <v>36</v>
      </c>
      <c r="O421" t="str">
        <f>IF(TRIM(J421)="","NULL",IFERROR(VLOOKUP(TRIM(J421),Lookup_PropertyType!$A:$B,2,FALSE()),"other"))</f>
        <v>house</v>
      </c>
      <c r="P421">
        <f t="shared" si="6"/>
        <v>0</v>
      </c>
    </row>
    <row r="422" spans="1:16" ht="15.75" customHeight="1" x14ac:dyDescent="0.35">
      <c r="A422" s="13">
        <v>421</v>
      </c>
      <c r="B422" s="14">
        <v>45810</v>
      </c>
      <c r="C422" s="15"/>
      <c r="D422" s="16" t="s">
        <v>46</v>
      </c>
      <c r="E422" s="17">
        <v>5000</v>
      </c>
      <c r="F422" s="18"/>
      <c r="G422" s="18"/>
      <c r="H422" s="19">
        <v>800000</v>
      </c>
      <c r="I422" s="19">
        <v>40000</v>
      </c>
      <c r="J422" s="22" t="s">
        <v>37</v>
      </c>
      <c r="K422" s="13">
        <v>55</v>
      </c>
      <c r="L422" s="21" t="s">
        <v>41</v>
      </c>
      <c r="M422" s="21" t="s">
        <v>39</v>
      </c>
      <c r="N422" s="16" t="s">
        <v>42</v>
      </c>
      <c r="O422" t="str">
        <f>IF(TRIM(J422)="","NULL",IFERROR(VLOOKUP(TRIM(J422),Lookup_PropertyType!$A:$B,2,FALSE()),"other"))</f>
        <v>house</v>
      </c>
      <c r="P422">
        <f t="shared" si="6"/>
        <v>0</v>
      </c>
    </row>
    <row r="423" spans="1:16" ht="15.75" customHeight="1" x14ac:dyDescent="0.35">
      <c r="A423" s="13">
        <v>422</v>
      </c>
      <c r="B423" s="14">
        <v>45829</v>
      </c>
      <c r="C423" s="14">
        <v>45859</v>
      </c>
      <c r="D423" s="16" t="s">
        <v>32</v>
      </c>
      <c r="E423" s="17">
        <v>12000</v>
      </c>
      <c r="F423" s="18"/>
      <c r="G423" s="18"/>
      <c r="H423" s="19">
        <v>380000</v>
      </c>
      <c r="I423" s="19">
        <v>150000</v>
      </c>
      <c r="J423" s="22" t="s">
        <v>33</v>
      </c>
      <c r="K423" s="13">
        <v>63</v>
      </c>
      <c r="L423" s="21" t="s">
        <v>38</v>
      </c>
      <c r="M423" s="21" t="s">
        <v>39</v>
      </c>
      <c r="N423" s="16" t="s">
        <v>43</v>
      </c>
      <c r="O423" t="str">
        <f>IF(TRIM(J423)="","NULL",IFERROR(VLOOKUP(TRIM(J423),Lookup_PropertyType!$A:$B,2,FALSE()),"other"))</f>
        <v>apartment</v>
      </c>
      <c r="P423">
        <f t="shared" si="6"/>
        <v>1</v>
      </c>
    </row>
    <row r="424" spans="1:16" ht="15.75" customHeight="1" x14ac:dyDescent="0.35">
      <c r="A424" s="13">
        <v>423</v>
      </c>
      <c r="B424" s="14">
        <v>45809</v>
      </c>
      <c r="C424" s="14">
        <v>45885</v>
      </c>
      <c r="D424" s="16" t="s">
        <v>58</v>
      </c>
      <c r="E424" s="17">
        <v>20000</v>
      </c>
      <c r="F424" s="18"/>
      <c r="G424" s="18"/>
      <c r="H424" s="19">
        <v>300000</v>
      </c>
      <c r="I424" s="19">
        <v>180000</v>
      </c>
      <c r="J424" s="22" t="s">
        <v>33</v>
      </c>
      <c r="K424" s="13">
        <v>61</v>
      </c>
      <c r="L424" s="21" t="s">
        <v>34</v>
      </c>
      <c r="M424" s="21" t="s">
        <v>39</v>
      </c>
      <c r="N424" s="16" t="s">
        <v>40</v>
      </c>
      <c r="O424" t="str">
        <f>IF(TRIM(J424)="","NULL",IFERROR(VLOOKUP(TRIM(J424),Lookup_PropertyType!$A:$B,2,FALSE()),"other"))</f>
        <v>apartment</v>
      </c>
      <c r="P424">
        <f t="shared" si="6"/>
        <v>1</v>
      </c>
    </row>
    <row r="425" spans="1:16" ht="15.75" customHeight="1" x14ac:dyDescent="0.35">
      <c r="A425" s="13">
        <v>424</v>
      </c>
      <c r="B425" s="14">
        <v>45792</v>
      </c>
      <c r="C425" s="15"/>
      <c r="D425" s="16" t="s">
        <v>32</v>
      </c>
      <c r="E425" s="17">
        <v>20000</v>
      </c>
      <c r="F425" s="18"/>
      <c r="G425" s="18"/>
      <c r="H425" s="19">
        <v>490000</v>
      </c>
      <c r="I425" s="19">
        <v>120000</v>
      </c>
      <c r="J425" s="22" t="s">
        <v>33</v>
      </c>
      <c r="K425" s="13">
        <v>49</v>
      </c>
      <c r="L425" s="21" t="s">
        <v>59</v>
      </c>
      <c r="M425" s="21" t="s">
        <v>35</v>
      </c>
      <c r="N425" s="16" t="s">
        <v>42</v>
      </c>
      <c r="O425" t="str">
        <f>IF(TRIM(J425)="","NULL",IFERROR(VLOOKUP(TRIM(J425),Lookup_PropertyType!$A:$B,2,FALSE()),"other"))</f>
        <v>apartment</v>
      </c>
      <c r="P425">
        <f t="shared" si="6"/>
        <v>0</v>
      </c>
    </row>
    <row r="426" spans="1:16" ht="15.75" customHeight="1" x14ac:dyDescent="0.35">
      <c r="A426" s="13">
        <v>425</v>
      </c>
      <c r="B426" s="14">
        <v>45807</v>
      </c>
      <c r="C426" s="14">
        <v>45865</v>
      </c>
      <c r="D426" s="16" t="s">
        <v>32</v>
      </c>
      <c r="E426" s="17">
        <v>16000</v>
      </c>
      <c r="F426" s="18"/>
      <c r="G426" s="18"/>
      <c r="H426" s="19">
        <v>250000</v>
      </c>
      <c r="I426" s="19">
        <v>50000</v>
      </c>
      <c r="J426" s="22" t="s">
        <v>33</v>
      </c>
      <c r="K426" s="13">
        <v>44</v>
      </c>
      <c r="L426" s="21" t="s">
        <v>38</v>
      </c>
      <c r="M426" s="21" t="s">
        <v>39</v>
      </c>
      <c r="N426" s="16" t="s">
        <v>42</v>
      </c>
      <c r="O426" t="str">
        <f>IF(TRIM(J426)="","NULL",IFERROR(VLOOKUP(TRIM(J426),Lookup_PropertyType!$A:$B,2,FALSE()),"other"))</f>
        <v>apartment</v>
      </c>
      <c r="P426">
        <f t="shared" si="6"/>
        <v>1</v>
      </c>
    </row>
    <row r="427" spans="1:16" ht="15.75" customHeight="1" x14ac:dyDescent="0.35">
      <c r="A427" s="13">
        <v>426</v>
      </c>
      <c r="B427" s="14">
        <v>45800</v>
      </c>
      <c r="C427" s="15"/>
      <c r="D427" s="16" t="s">
        <v>44</v>
      </c>
      <c r="E427" s="17">
        <v>9600</v>
      </c>
      <c r="F427" s="18"/>
      <c r="G427" s="18"/>
      <c r="H427" s="19">
        <v>310000</v>
      </c>
      <c r="I427" s="19">
        <v>140000</v>
      </c>
      <c r="J427" s="22" t="s">
        <v>33</v>
      </c>
      <c r="K427" s="13">
        <v>45</v>
      </c>
      <c r="L427" s="21" t="s">
        <v>38</v>
      </c>
      <c r="M427" s="21" t="s">
        <v>39</v>
      </c>
      <c r="N427" s="16" t="s">
        <v>42</v>
      </c>
      <c r="O427" t="str">
        <f>IF(TRIM(J427)="","NULL",IFERROR(VLOOKUP(TRIM(J427),Lookup_PropertyType!$A:$B,2,FALSE()),"other"))</f>
        <v>apartment</v>
      </c>
      <c r="P427">
        <f t="shared" si="6"/>
        <v>0</v>
      </c>
    </row>
    <row r="428" spans="1:16" ht="15.75" customHeight="1" x14ac:dyDescent="0.35">
      <c r="A428" s="13">
        <v>427</v>
      </c>
      <c r="B428" s="14">
        <v>45834</v>
      </c>
      <c r="C428" s="15"/>
      <c r="D428" s="16" t="s">
        <v>32</v>
      </c>
      <c r="E428" s="17">
        <v>5000</v>
      </c>
      <c r="F428" s="18"/>
      <c r="G428" s="18"/>
      <c r="H428" s="19">
        <v>280000</v>
      </c>
      <c r="I428" s="19">
        <v>60000</v>
      </c>
      <c r="J428" s="22" t="s">
        <v>33</v>
      </c>
      <c r="K428" s="13">
        <v>59</v>
      </c>
      <c r="L428" s="21" t="s">
        <v>38</v>
      </c>
      <c r="M428" s="21" t="s">
        <v>39</v>
      </c>
      <c r="N428" s="16" t="s">
        <v>43</v>
      </c>
      <c r="O428" t="str">
        <f>IF(TRIM(J428)="","NULL",IFERROR(VLOOKUP(TRIM(J428),Lookup_PropertyType!$A:$B,2,FALSE()),"other"))</f>
        <v>apartment</v>
      </c>
      <c r="P428">
        <f t="shared" si="6"/>
        <v>0</v>
      </c>
    </row>
    <row r="429" spans="1:16" ht="15.75" customHeight="1" x14ac:dyDescent="0.35">
      <c r="A429" s="13">
        <v>428</v>
      </c>
      <c r="B429" s="14">
        <v>45803</v>
      </c>
      <c r="C429" s="15"/>
      <c r="D429" s="16" t="s">
        <v>44</v>
      </c>
      <c r="E429" s="17">
        <v>6000</v>
      </c>
      <c r="F429" s="18"/>
      <c r="G429" s="18"/>
      <c r="H429" s="19">
        <v>500000</v>
      </c>
      <c r="I429" s="19">
        <v>150000</v>
      </c>
      <c r="J429" s="22" t="s">
        <v>33</v>
      </c>
      <c r="K429" s="13">
        <v>35</v>
      </c>
      <c r="L429" s="21" t="s">
        <v>41</v>
      </c>
      <c r="M429" s="21" t="s">
        <v>39</v>
      </c>
      <c r="N429" s="16" t="s">
        <v>51</v>
      </c>
      <c r="O429" t="str">
        <f>IF(TRIM(J429)="","NULL",IFERROR(VLOOKUP(TRIM(J429),Lookup_PropertyType!$A:$B,2,FALSE()),"other"))</f>
        <v>apartment</v>
      </c>
      <c r="P429">
        <f t="shared" si="6"/>
        <v>0</v>
      </c>
    </row>
    <row r="430" spans="1:16" ht="15.75" customHeight="1" x14ac:dyDescent="0.35">
      <c r="A430" s="13">
        <v>429</v>
      </c>
      <c r="B430" s="14">
        <v>45817</v>
      </c>
      <c r="C430" s="14">
        <v>45927</v>
      </c>
      <c r="D430" s="16" t="s">
        <v>76</v>
      </c>
      <c r="E430" s="17">
        <v>10500</v>
      </c>
      <c r="F430" s="18"/>
      <c r="G430" s="18"/>
      <c r="H430" s="19">
        <v>280000</v>
      </c>
      <c r="I430" s="19">
        <v>150000</v>
      </c>
      <c r="J430" s="22" t="s">
        <v>33</v>
      </c>
      <c r="K430" s="13">
        <v>57</v>
      </c>
      <c r="L430" s="21" t="s">
        <v>45</v>
      </c>
      <c r="M430" s="21" t="s">
        <v>39</v>
      </c>
      <c r="N430" s="16" t="s">
        <v>42</v>
      </c>
      <c r="O430" t="str">
        <f>IF(TRIM(J430)="","NULL",IFERROR(VLOOKUP(TRIM(J430),Lookup_PropertyType!$A:$B,2,FALSE()),"other"))</f>
        <v>apartment</v>
      </c>
      <c r="P430">
        <f t="shared" si="6"/>
        <v>1</v>
      </c>
    </row>
    <row r="431" spans="1:16" ht="15.75" customHeight="1" x14ac:dyDescent="0.35">
      <c r="A431" s="13">
        <v>430</v>
      </c>
      <c r="B431" s="14">
        <v>45932</v>
      </c>
      <c r="C431" s="14">
        <v>46003</v>
      </c>
      <c r="D431" s="16" t="s">
        <v>32</v>
      </c>
      <c r="E431" s="17">
        <v>8000</v>
      </c>
      <c r="F431" s="18"/>
      <c r="G431" s="18"/>
      <c r="H431" s="19">
        <v>950000</v>
      </c>
      <c r="I431" s="19">
        <v>60000</v>
      </c>
      <c r="J431" s="22" t="s">
        <v>33</v>
      </c>
      <c r="K431" s="13">
        <v>45</v>
      </c>
      <c r="L431" s="21" t="s">
        <v>38</v>
      </c>
      <c r="M431" s="21" t="s">
        <v>39</v>
      </c>
      <c r="N431" s="16" t="s">
        <v>51</v>
      </c>
      <c r="O431" t="str">
        <f>IF(TRIM(J431)="","NULL",IFERROR(VLOOKUP(TRIM(J431),Lookup_PropertyType!$A:$B,2,FALSE()),"other"))</f>
        <v>apartment</v>
      </c>
      <c r="P431">
        <f t="shared" si="6"/>
        <v>1</v>
      </c>
    </row>
    <row r="432" spans="1:16" ht="15.75" customHeight="1" x14ac:dyDescent="0.35">
      <c r="A432" s="13">
        <v>431</v>
      </c>
      <c r="B432" s="14">
        <v>45795</v>
      </c>
      <c r="C432" s="15"/>
      <c r="D432" s="16" t="s">
        <v>32</v>
      </c>
      <c r="E432" s="17">
        <v>5000</v>
      </c>
      <c r="F432" s="18"/>
      <c r="G432" s="18"/>
      <c r="H432" s="19">
        <v>300000</v>
      </c>
      <c r="I432" s="19">
        <v>30000</v>
      </c>
      <c r="J432" s="22" t="s">
        <v>33</v>
      </c>
      <c r="K432" s="13">
        <v>49</v>
      </c>
      <c r="L432" s="21" t="s">
        <v>38</v>
      </c>
      <c r="M432" s="21" t="s">
        <v>35</v>
      </c>
      <c r="N432" s="16" t="s">
        <v>42</v>
      </c>
      <c r="O432" t="str">
        <f>IF(TRIM(J432)="","NULL",IFERROR(VLOOKUP(TRIM(J432),Lookup_PropertyType!$A:$B,2,FALSE()),"other"))</f>
        <v>apartment</v>
      </c>
      <c r="P432">
        <f t="shared" si="6"/>
        <v>0</v>
      </c>
    </row>
    <row r="433" spans="1:16" ht="15.75" customHeight="1" x14ac:dyDescent="0.35">
      <c r="A433" s="13">
        <v>432</v>
      </c>
      <c r="B433" s="14">
        <v>45828</v>
      </c>
      <c r="C433" s="14">
        <v>45852</v>
      </c>
      <c r="D433" s="16" t="s">
        <v>32</v>
      </c>
      <c r="E433" s="17">
        <v>15000</v>
      </c>
      <c r="F433" s="18"/>
      <c r="G433" s="18"/>
      <c r="H433" s="19">
        <v>250000</v>
      </c>
      <c r="I433" s="19">
        <v>100000</v>
      </c>
      <c r="J433" s="22" t="s">
        <v>37</v>
      </c>
      <c r="K433" s="13">
        <v>50</v>
      </c>
      <c r="L433" s="21" t="s">
        <v>41</v>
      </c>
      <c r="M433" s="21" t="s">
        <v>35</v>
      </c>
      <c r="N433" s="16" t="s">
        <v>50</v>
      </c>
      <c r="O433" t="str">
        <f>IF(TRIM(J433)="","NULL",IFERROR(VLOOKUP(TRIM(J433),Lookup_PropertyType!$A:$B,2,FALSE()),"other"))</f>
        <v>house</v>
      </c>
      <c r="P433">
        <f t="shared" si="6"/>
        <v>1</v>
      </c>
    </row>
    <row r="434" spans="1:16" ht="15.75" customHeight="1" x14ac:dyDescent="0.35">
      <c r="A434" s="13">
        <v>433</v>
      </c>
      <c r="B434" s="14">
        <v>45887</v>
      </c>
      <c r="C434" s="15"/>
      <c r="D434" s="16" t="s">
        <v>32</v>
      </c>
      <c r="E434" s="17">
        <v>9500</v>
      </c>
      <c r="F434" s="18"/>
      <c r="G434" s="18"/>
      <c r="H434" s="19">
        <v>400000</v>
      </c>
      <c r="I434" s="19">
        <v>30000</v>
      </c>
      <c r="J434" s="22" t="s">
        <v>33</v>
      </c>
      <c r="K434" s="13">
        <v>56</v>
      </c>
      <c r="L434" s="21" t="s">
        <v>38</v>
      </c>
      <c r="M434" s="21" t="s">
        <v>39</v>
      </c>
      <c r="N434" s="16" t="s">
        <v>50</v>
      </c>
      <c r="O434" t="str">
        <f>IF(TRIM(J434)="","NULL",IFERROR(VLOOKUP(TRIM(J434),Lookup_PropertyType!$A:$B,2,FALSE()),"other"))</f>
        <v>apartment</v>
      </c>
      <c r="P434">
        <f t="shared" si="6"/>
        <v>0</v>
      </c>
    </row>
    <row r="435" spans="1:16" ht="15.75" customHeight="1" x14ac:dyDescent="0.35">
      <c r="A435" s="13">
        <v>434</v>
      </c>
      <c r="B435" s="14">
        <v>45841</v>
      </c>
      <c r="C435" s="14">
        <v>45873</v>
      </c>
      <c r="D435" s="16" t="s">
        <v>32</v>
      </c>
      <c r="E435" s="17">
        <v>15000</v>
      </c>
      <c r="F435" s="18"/>
      <c r="G435" s="18"/>
      <c r="H435" s="19">
        <v>750000</v>
      </c>
      <c r="I435" s="19">
        <v>100000</v>
      </c>
      <c r="J435" s="22" t="s">
        <v>33</v>
      </c>
      <c r="K435" s="13">
        <v>75</v>
      </c>
      <c r="L435" s="21" t="s">
        <v>38</v>
      </c>
      <c r="M435" s="21" t="s">
        <v>39</v>
      </c>
      <c r="N435" s="16" t="s">
        <v>40</v>
      </c>
      <c r="O435" t="str">
        <f>IF(TRIM(J435)="","NULL",IFERROR(VLOOKUP(TRIM(J435),Lookup_PropertyType!$A:$B,2,FALSE()),"other"))</f>
        <v>apartment</v>
      </c>
      <c r="P435">
        <f t="shared" si="6"/>
        <v>1</v>
      </c>
    </row>
    <row r="436" spans="1:16" ht="15.75" customHeight="1" x14ac:dyDescent="0.35">
      <c r="A436" s="13">
        <v>435</v>
      </c>
      <c r="B436" s="14">
        <v>45810</v>
      </c>
      <c r="C436" s="15"/>
      <c r="D436" s="16" t="s">
        <v>32</v>
      </c>
      <c r="E436" s="17">
        <v>5280</v>
      </c>
      <c r="F436" s="13">
        <v>180</v>
      </c>
      <c r="G436" s="18"/>
      <c r="H436" s="19">
        <v>380000</v>
      </c>
      <c r="I436" s="19">
        <v>100000</v>
      </c>
      <c r="J436" s="22" t="s">
        <v>33</v>
      </c>
      <c r="K436" s="13">
        <v>38</v>
      </c>
      <c r="L436" s="21" t="s">
        <v>41</v>
      </c>
      <c r="M436" s="21" t="s">
        <v>39</v>
      </c>
      <c r="N436" s="16" t="s">
        <v>51</v>
      </c>
      <c r="O436" t="str">
        <f>IF(TRIM(J436)="","NULL",IFERROR(VLOOKUP(TRIM(J436),Lookup_PropertyType!$A:$B,2,FALSE()),"other"))</f>
        <v>apartment</v>
      </c>
      <c r="P436">
        <f t="shared" si="6"/>
        <v>0</v>
      </c>
    </row>
    <row r="437" spans="1:16" ht="15.75" customHeight="1" x14ac:dyDescent="0.35">
      <c r="A437" s="13">
        <v>436</v>
      </c>
      <c r="B437" s="14">
        <v>45838</v>
      </c>
      <c r="C437" s="14">
        <v>45894</v>
      </c>
      <c r="D437" s="16" t="s">
        <v>32</v>
      </c>
      <c r="E437" s="17">
        <v>7000</v>
      </c>
      <c r="F437" s="18"/>
      <c r="G437" s="18"/>
      <c r="H437" s="19">
        <v>280000</v>
      </c>
      <c r="I437" s="19">
        <v>50000</v>
      </c>
      <c r="J437" s="22" t="s">
        <v>33</v>
      </c>
      <c r="K437" s="13">
        <v>52</v>
      </c>
      <c r="L437" s="21" t="s">
        <v>38</v>
      </c>
      <c r="M437" s="21" t="s">
        <v>54</v>
      </c>
      <c r="N437" s="16" t="s">
        <v>42</v>
      </c>
      <c r="O437" t="str">
        <f>IF(TRIM(J437)="","NULL",IFERROR(VLOOKUP(TRIM(J437),Lookup_PropertyType!$A:$B,2,FALSE()),"other"))</f>
        <v>apartment</v>
      </c>
      <c r="P437">
        <f t="shared" si="6"/>
        <v>1</v>
      </c>
    </row>
    <row r="438" spans="1:16" ht="15.75" customHeight="1" x14ac:dyDescent="0.35">
      <c r="A438" s="13">
        <v>437</v>
      </c>
      <c r="B438" s="14">
        <v>45828</v>
      </c>
      <c r="C438" s="15"/>
      <c r="D438" s="16" t="s">
        <v>69</v>
      </c>
      <c r="E438" s="17">
        <v>15000</v>
      </c>
      <c r="F438" s="18"/>
      <c r="G438" s="18"/>
      <c r="H438" s="19">
        <v>800000</v>
      </c>
      <c r="I438" s="19">
        <v>44000</v>
      </c>
      <c r="J438" s="22" t="s">
        <v>33</v>
      </c>
      <c r="K438" s="13">
        <v>68</v>
      </c>
      <c r="L438" s="21" t="s">
        <v>38</v>
      </c>
      <c r="M438" s="21" t="s">
        <v>54</v>
      </c>
      <c r="N438" s="16" t="s">
        <v>36</v>
      </c>
      <c r="O438" t="str">
        <f>IF(TRIM(J438)="","NULL",IFERROR(VLOOKUP(TRIM(J438),Lookup_PropertyType!$A:$B,2,FALSE()),"other"))</f>
        <v>apartment</v>
      </c>
      <c r="P438">
        <f t="shared" si="6"/>
        <v>0</v>
      </c>
    </row>
    <row r="439" spans="1:16" ht="15.75" customHeight="1" x14ac:dyDescent="0.35">
      <c r="A439" s="13">
        <v>438</v>
      </c>
      <c r="B439" s="14">
        <v>45810</v>
      </c>
      <c r="C439" s="14">
        <v>45897</v>
      </c>
      <c r="D439" s="16" t="s">
        <v>32</v>
      </c>
      <c r="E439" s="17">
        <v>6900</v>
      </c>
      <c r="F439" s="18"/>
      <c r="G439" s="18"/>
      <c r="H439" s="19">
        <v>350000</v>
      </c>
      <c r="I439" s="19">
        <v>100000</v>
      </c>
      <c r="J439" s="22" t="s">
        <v>37</v>
      </c>
      <c r="K439" s="13">
        <v>54</v>
      </c>
      <c r="L439" s="21" t="s">
        <v>59</v>
      </c>
      <c r="M439" s="21" t="s">
        <v>72</v>
      </c>
      <c r="N439" s="16" t="s">
        <v>42</v>
      </c>
      <c r="O439" t="str">
        <f>IF(TRIM(J439)="","NULL",IFERROR(VLOOKUP(TRIM(J439),Lookup_PropertyType!$A:$B,2,FALSE()),"other"))</f>
        <v>house</v>
      </c>
      <c r="P439">
        <f t="shared" si="6"/>
        <v>1</v>
      </c>
    </row>
    <row r="440" spans="1:16" ht="15.75" customHeight="1" x14ac:dyDescent="0.35">
      <c r="A440" s="13">
        <v>439</v>
      </c>
      <c r="B440" s="14">
        <v>45848</v>
      </c>
      <c r="C440" s="15"/>
      <c r="D440" s="16" t="s">
        <v>32</v>
      </c>
      <c r="E440" s="17">
        <v>15000</v>
      </c>
      <c r="F440" s="18"/>
      <c r="G440" s="18"/>
      <c r="H440" s="19">
        <v>350000</v>
      </c>
      <c r="I440" s="19">
        <v>200000</v>
      </c>
      <c r="J440" s="20" t="s">
        <v>53</v>
      </c>
      <c r="K440" s="13">
        <v>47</v>
      </c>
      <c r="L440" s="21" t="s">
        <v>38</v>
      </c>
      <c r="M440" s="21" t="s">
        <v>39</v>
      </c>
      <c r="N440" s="16" t="s">
        <v>36</v>
      </c>
      <c r="O440" t="str">
        <f>IF(TRIM(J440)="","NULL",IFERROR(VLOOKUP(TRIM(J440),Lookup_PropertyType!$A:$B,2,FALSE()),"other"))</f>
        <v>other</v>
      </c>
      <c r="P440">
        <f t="shared" si="6"/>
        <v>0</v>
      </c>
    </row>
    <row r="441" spans="1:16" ht="15.75" customHeight="1" x14ac:dyDescent="0.35">
      <c r="A441" s="13">
        <v>440</v>
      </c>
      <c r="B441" s="14">
        <v>45802</v>
      </c>
      <c r="C441" s="14">
        <v>45843</v>
      </c>
      <c r="D441" s="16" t="s">
        <v>32</v>
      </c>
      <c r="E441" s="17">
        <v>6600</v>
      </c>
      <c r="F441" s="18"/>
      <c r="G441" s="18"/>
      <c r="H441" s="19">
        <v>400000</v>
      </c>
      <c r="I441" s="19">
        <v>45000</v>
      </c>
      <c r="J441" s="22" t="s">
        <v>33</v>
      </c>
      <c r="K441" s="13">
        <v>47</v>
      </c>
      <c r="L441" s="21" t="s">
        <v>34</v>
      </c>
      <c r="M441" s="21" t="s">
        <v>48</v>
      </c>
      <c r="N441" s="16" t="s">
        <v>42</v>
      </c>
      <c r="O441" t="str">
        <f>IF(TRIM(J441)="","NULL",IFERROR(VLOOKUP(TRIM(J441),Lookup_PropertyType!$A:$B,2,FALSE()),"other"))</f>
        <v>apartment</v>
      </c>
      <c r="P441">
        <f t="shared" si="6"/>
        <v>1</v>
      </c>
    </row>
    <row r="442" spans="1:16" ht="15.75" customHeight="1" x14ac:dyDescent="0.35">
      <c r="A442" s="13">
        <v>441</v>
      </c>
      <c r="B442" s="14">
        <v>45838</v>
      </c>
      <c r="C442" s="14">
        <v>45929</v>
      </c>
      <c r="D442" s="16" t="s">
        <v>65</v>
      </c>
      <c r="E442" s="17">
        <v>8500</v>
      </c>
      <c r="F442" s="18"/>
      <c r="G442" s="18"/>
      <c r="H442" s="19">
        <v>330000</v>
      </c>
      <c r="I442" s="19">
        <v>89000</v>
      </c>
      <c r="J442" s="22" t="s">
        <v>33</v>
      </c>
      <c r="K442" s="13">
        <v>51</v>
      </c>
      <c r="L442" s="21" t="s">
        <v>38</v>
      </c>
      <c r="M442" s="21" t="s">
        <v>39</v>
      </c>
      <c r="N442" s="16" t="s">
        <v>50</v>
      </c>
      <c r="O442" t="str">
        <f>IF(TRIM(J442)="","NULL",IFERROR(VLOOKUP(TRIM(J442),Lookup_PropertyType!$A:$B,2,FALSE()),"other"))</f>
        <v>apartment</v>
      </c>
      <c r="P442">
        <f t="shared" si="6"/>
        <v>1</v>
      </c>
    </row>
    <row r="443" spans="1:16" ht="15.75" customHeight="1" x14ac:dyDescent="0.35">
      <c r="A443" s="13">
        <v>442</v>
      </c>
      <c r="B443" s="14">
        <v>45856</v>
      </c>
      <c r="C443" s="15"/>
      <c r="D443" s="16" t="s">
        <v>58</v>
      </c>
      <c r="E443" s="17">
        <v>10000</v>
      </c>
      <c r="F443" s="18"/>
      <c r="G443" s="18"/>
      <c r="H443" s="19">
        <v>600000</v>
      </c>
      <c r="I443" s="19">
        <v>180000</v>
      </c>
      <c r="J443" s="22" t="s">
        <v>33</v>
      </c>
      <c r="K443" s="13">
        <v>59</v>
      </c>
      <c r="L443" s="21" t="s">
        <v>38</v>
      </c>
      <c r="M443" s="21" t="s">
        <v>39</v>
      </c>
      <c r="N443" s="16" t="s">
        <v>42</v>
      </c>
      <c r="O443" t="str">
        <f>IF(TRIM(J443)="","NULL",IFERROR(VLOOKUP(TRIM(J443),Lookup_PropertyType!$A:$B,2,FALSE()),"other"))</f>
        <v>apartment</v>
      </c>
      <c r="P443">
        <f t="shared" si="6"/>
        <v>0</v>
      </c>
    </row>
    <row r="444" spans="1:16" ht="15.75" customHeight="1" x14ac:dyDescent="0.35">
      <c r="A444" s="13">
        <v>443</v>
      </c>
      <c r="B444" s="14">
        <v>45817</v>
      </c>
      <c r="C444" s="15"/>
      <c r="D444" s="16" t="s">
        <v>55</v>
      </c>
      <c r="E444" s="17">
        <v>12000</v>
      </c>
      <c r="F444" s="18"/>
      <c r="G444" s="18"/>
      <c r="H444" s="19">
        <v>450000</v>
      </c>
      <c r="I444" s="19">
        <v>30000</v>
      </c>
      <c r="J444" s="22" t="s">
        <v>33</v>
      </c>
      <c r="K444" s="13">
        <v>48</v>
      </c>
      <c r="L444" s="21" t="s">
        <v>38</v>
      </c>
      <c r="M444" s="21" t="s">
        <v>39</v>
      </c>
      <c r="N444" s="16" t="s">
        <v>50</v>
      </c>
      <c r="O444" t="str">
        <f>IF(TRIM(J444)="","NULL",IFERROR(VLOOKUP(TRIM(J444),Lookup_PropertyType!$A:$B,2,FALSE()),"other"))</f>
        <v>apartment</v>
      </c>
      <c r="P444">
        <f t="shared" si="6"/>
        <v>0</v>
      </c>
    </row>
    <row r="445" spans="1:16" ht="15.75" customHeight="1" x14ac:dyDescent="0.35">
      <c r="A445" s="13">
        <v>444</v>
      </c>
      <c r="B445" s="14">
        <v>45829</v>
      </c>
      <c r="C445" s="15"/>
      <c r="D445" s="16" t="s">
        <v>55</v>
      </c>
      <c r="E445" s="17">
        <v>10000</v>
      </c>
      <c r="F445" s="18"/>
      <c r="G445" s="18"/>
      <c r="H445" s="19">
        <v>220000</v>
      </c>
      <c r="I445" s="19">
        <v>90000</v>
      </c>
      <c r="J445" s="20" t="s">
        <v>53</v>
      </c>
      <c r="K445" s="13">
        <v>46</v>
      </c>
      <c r="L445" s="21" t="s">
        <v>41</v>
      </c>
      <c r="M445" s="21" t="s">
        <v>39</v>
      </c>
      <c r="N445" s="16" t="s">
        <v>36</v>
      </c>
      <c r="O445" t="str">
        <f>IF(TRIM(J445)="","NULL",IFERROR(VLOOKUP(TRIM(J445),Lookup_PropertyType!$A:$B,2,FALSE()),"other"))</f>
        <v>other</v>
      </c>
      <c r="P445">
        <f t="shared" si="6"/>
        <v>0</v>
      </c>
    </row>
    <row r="446" spans="1:16" ht="15.75" customHeight="1" x14ac:dyDescent="0.35">
      <c r="A446" s="13">
        <v>445</v>
      </c>
      <c r="B446" s="14">
        <v>45982</v>
      </c>
      <c r="C446" s="14">
        <v>46044</v>
      </c>
      <c r="D446" s="16" t="s">
        <v>61</v>
      </c>
      <c r="E446" s="17">
        <v>13000</v>
      </c>
      <c r="F446" s="18"/>
      <c r="G446" s="18"/>
      <c r="H446" s="19">
        <v>360000</v>
      </c>
      <c r="I446" s="19">
        <v>30000</v>
      </c>
      <c r="J446" s="22" t="s">
        <v>33</v>
      </c>
      <c r="K446" s="13">
        <v>64</v>
      </c>
      <c r="L446" s="21" t="s">
        <v>59</v>
      </c>
      <c r="M446" s="21" t="s">
        <v>54</v>
      </c>
      <c r="N446" s="16" t="s">
        <v>43</v>
      </c>
      <c r="O446" t="str">
        <f>IF(TRIM(J446)="","NULL",IFERROR(VLOOKUP(TRIM(J446),Lookup_PropertyType!$A:$B,2,FALSE()),"other"))</f>
        <v>apartment</v>
      </c>
      <c r="P446">
        <f t="shared" si="6"/>
        <v>1</v>
      </c>
    </row>
    <row r="447" spans="1:16" ht="15.75" customHeight="1" x14ac:dyDescent="0.35">
      <c r="A447" s="13">
        <v>446</v>
      </c>
      <c r="B447" s="14">
        <v>45844</v>
      </c>
      <c r="C447" s="14">
        <v>45879</v>
      </c>
      <c r="D447" s="16" t="s">
        <v>32</v>
      </c>
      <c r="E447" s="17">
        <v>70000</v>
      </c>
      <c r="F447" s="18"/>
      <c r="G447" s="18"/>
      <c r="H447" s="19">
        <v>1600000</v>
      </c>
      <c r="I447" s="19">
        <v>700000</v>
      </c>
      <c r="J447" s="20" t="s">
        <v>33</v>
      </c>
      <c r="K447" s="13">
        <v>58</v>
      </c>
      <c r="L447" s="21" t="s">
        <v>38</v>
      </c>
      <c r="M447" s="21" t="s">
        <v>39</v>
      </c>
      <c r="N447" s="16" t="s">
        <v>36</v>
      </c>
      <c r="O447" t="str">
        <f>IF(TRIM(J447)="","NULL",IFERROR(VLOOKUP(TRIM(J447),Lookup_PropertyType!$A:$B,2,FALSE()),"other"))</f>
        <v>apartment</v>
      </c>
      <c r="P447">
        <f t="shared" si="6"/>
        <v>1</v>
      </c>
    </row>
    <row r="448" spans="1:16" ht="15.75" customHeight="1" x14ac:dyDescent="0.35">
      <c r="A448" s="13">
        <v>447</v>
      </c>
      <c r="B448" s="14">
        <v>45849</v>
      </c>
      <c r="C448" s="14">
        <v>45905</v>
      </c>
      <c r="D448" s="16" t="s">
        <v>61</v>
      </c>
      <c r="E448" s="17">
        <v>4800</v>
      </c>
      <c r="F448" s="18"/>
      <c r="G448" s="18"/>
      <c r="H448" s="19">
        <v>300000</v>
      </c>
      <c r="I448" s="19">
        <v>50000</v>
      </c>
      <c r="J448" s="22" t="s">
        <v>33</v>
      </c>
      <c r="K448" s="13">
        <v>52</v>
      </c>
      <c r="L448" s="21" t="s">
        <v>45</v>
      </c>
      <c r="M448" s="21" t="s">
        <v>54</v>
      </c>
      <c r="N448" s="16" t="s">
        <v>50</v>
      </c>
      <c r="O448" t="str">
        <f>IF(TRIM(J448)="","NULL",IFERROR(VLOOKUP(TRIM(J448),Lookup_PropertyType!$A:$B,2,FALSE()),"other"))</f>
        <v>apartment</v>
      </c>
      <c r="P448">
        <f t="shared" si="6"/>
        <v>1</v>
      </c>
    </row>
    <row r="449" spans="1:16" ht="15.75" customHeight="1" x14ac:dyDescent="0.35">
      <c r="A449" s="13">
        <v>448</v>
      </c>
      <c r="B449" s="14">
        <v>45810</v>
      </c>
      <c r="C449" s="15"/>
      <c r="D449" s="16" t="s">
        <v>32</v>
      </c>
      <c r="E449" s="17">
        <v>5300</v>
      </c>
      <c r="F449" s="18"/>
      <c r="G449" s="18"/>
      <c r="H449" s="19">
        <v>210000</v>
      </c>
      <c r="I449" s="19">
        <v>80000</v>
      </c>
      <c r="J449" s="22" t="s">
        <v>33</v>
      </c>
      <c r="K449" s="13">
        <v>48</v>
      </c>
      <c r="L449" s="21" t="s">
        <v>38</v>
      </c>
      <c r="M449" s="21" t="s">
        <v>39</v>
      </c>
      <c r="N449" s="16" t="s">
        <v>42</v>
      </c>
      <c r="O449" t="str">
        <f>IF(TRIM(J449)="","NULL",IFERROR(VLOOKUP(TRIM(J449),Lookup_PropertyType!$A:$B,2,FALSE()),"other"))</f>
        <v>apartment</v>
      </c>
      <c r="P449">
        <f t="shared" si="6"/>
        <v>0</v>
      </c>
    </row>
    <row r="450" spans="1:16" ht="15.75" customHeight="1" x14ac:dyDescent="0.35">
      <c r="A450" s="13">
        <v>449</v>
      </c>
      <c r="B450" s="14">
        <v>45803</v>
      </c>
      <c r="C450" s="15"/>
      <c r="D450" s="16" t="s">
        <v>44</v>
      </c>
      <c r="E450" s="17">
        <v>17000</v>
      </c>
      <c r="F450" s="18"/>
      <c r="G450" s="18"/>
      <c r="H450" s="19">
        <v>300000</v>
      </c>
      <c r="I450" s="19">
        <v>80000</v>
      </c>
      <c r="J450" s="22" t="s">
        <v>33</v>
      </c>
      <c r="K450" s="13">
        <v>47</v>
      </c>
      <c r="L450" s="21" t="s">
        <v>45</v>
      </c>
      <c r="M450" s="21" t="s">
        <v>35</v>
      </c>
      <c r="N450" s="16" t="s">
        <v>50</v>
      </c>
      <c r="O450" t="str">
        <f>IF(TRIM(J450)="","NULL",IFERROR(VLOOKUP(TRIM(J450),Lookup_PropertyType!$A:$B,2,FALSE()),"other"))</f>
        <v>apartment</v>
      </c>
      <c r="P450">
        <f t="shared" ref="P450:P513" si="7">IF(AND(C450&lt;&gt;"",C450&gt;=B450),1,0)</f>
        <v>0</v>
      </c>
    </row>
    <row r="451" spans="1:16" ht="15.75" customHeight="1" x14ac:dyDescent="0.35">
      <c r="A451" s="13">
        <v>450</v>
      </c>
      <c r="B451" s="14">
        <v>45810</v>
      </c>
      <c r="C451" s="14">
        <v>45897</v>
      </c>
      <c r="D451" s="16" t="s">
        <v>32</v>
      </c>
      <c r="E451" s="17">
        <v>10000</v>
      </c>
      <c r="F451" s="18"/>
      <c r="G451" s="18"/>
      <c r="H451" s="19">
        <v>360000</v>
      </c>
      <c r="I451" s="19">
        <v>100000</v>
      </c>
      <c r="J451" s="22" t="s">
        <v>37</v>
      </c>
      <c r="K451" s="13">
        <v>37</v>
      </c>
      <c r="L451" s="21" t="s">
        <v>59</v>
      </c>
      <c r="M451" s="21" t="s">
        <v>39</v>
      </c>
      <c r="N451" s="16" t="s">
        <v>42</v>
      </c>
      <c r="O451" t="str">
        <f>IF(TRIM(J451)="","NULL",IFERROR(VLOOKUP(TRIM(J451),Lookup_PropertyType!$A:$B,2,FALSE()),"other"))</f>
        <v>house</v>
      </c>
      <c r="P451">
        <f t="shared" si="7"/>
        <v>1</v>
      </c>
    </row>
    <row r="452" spans="1:16" ht="15.75" customHeight="1" x14ac:dyDescent="0.35">
      <c r="A452" s="13">
        <v>451</v>
      </c>
      <c r="B452" s="14">
        <v>45845</v>
      </c>
      <c r="C452" s="15"/>
      <c r="D452" s="16" t="s">
        <v>32</v>
      </c>
      <c r="E452" s="17">
        <v>10500</v>
      </c>
      <c r="F452" s="18"/>
      <c r="G452" s="18"/>
      <c r="H452" s="19">
        <v>250000</v>
      </c>
      <c r="I452" s="19">
        <v>100000</v>
      </c>
      <c r="J452" s="22" t="s">
        <v>33</v>
      </c>
      <c r="K452" s="13">
        <v>37</v>
      </c>
      <c r="L452" s="21" t="s">
        <v>41</v>
      </c>
      <c r="M452" s="21" t="s">
        <v>39</v>
      </c>
      <c r="N452" s="16" t="s">
        <v>42</v>
      </c>
      <c r="O452" t="str">
        <f>IF(TRIM(J452)="","NULL",IFERROR(VLOOKUP(TRIM(J452),Lookup_PropertyType!$A:$B,2,FALSE()),"other"))</f>
        <v>apartment</v>
      </c>
      <c r="P452">
        <f t="shared" si="7"/>
        <v>0</v>
      </c>
    </row>
    <row r="453" spans="1:16" ht="15.75" customHeight="1" x14ac:dyDescent="0.35">
      <c r="A453" s="13">
        <v>452</v>
      </c>
      <c r="B453" s="14">
        <v>45856</v>
      </c>
      <c r="C453" s="15"/>
      <c r="D453" s="16" t="s">
        <v>44</v>
      </c>
      <c r="E453" s="17">
        <v>26257.58</v>
      </c>
      <c r="F453" s="18"/>
      <c r="G453" s="18"/>
      <c r="H453" s="19">
        <v>950000</v>
      </c>
      <c r="I453" s="19">
        <v>400000</v>
      </c>
      <c r="J453" s="22" t="s">
        <v>37</v>
      </c>
      <c r="K453" s="13">
        <v>48</v>
      </c>
      <c r="L453" s="21" t="s">
        <v>41</v>
      </c>
      <c r="M453" s="21" t="s">
        <v>39</v>
      </c>
      <c r="N453" s="16" t="s">
        <v>42</v>
      </c>
      <c r="O453" t="str">
        <f>IF(TRIM(J453)="","NULL",IFERROR(VLOOKUP(TRIM(J453),Lookup_PropertyType!$A:$B,2,FALSE()),"other"))</f>
        <v>house</v>
      </c>
      <c r="P453">
        <f t="shared" si="7"/>
        <v>0</v>
      </c>
    </row>
    <row r="454" spans="1:16" ht="15.75" customHeight="1" x14ac:dyDescent="0.35">
      <c r="A454" s="13">
        <v>453</v>
      </c>
      <c r="B454" s="14">
        <v>45836</v>
      </c>
      <c r="C454" s="15"/>
      <c r="D454" s="16" t="s">
        <v>49</v>
      </c>
      <c r="E454" s="17">
        <v>4000</v>
      </c>
      <c r="F454" s="18"/>
      <c r="G454" s="18"/>
      <c r="H454" s="19">
        <v>200000</v>
      </c>
      <c r="I454" s="19">
        <v>80000</v>
      </c>
      <c r="J454" s="20" t="s">
        <v>37</v>
      </c>
      <c r="K454" s="13">
        <v>56</v>
      </c>
      <c r="L454" s="21" t="s">
        <v>38</v>
      </c>
      <c r="M454" s="21" t="s">
        <v>39</v>
      </c>
      <c r="N454" s="16" t="s">
        <v>43</v>
      </c>
      <c r="O454" t="str">
        <f>IF(TRIM(J454)="","NULL",IFERROR(VLOOKUP(TRIM(J454),Lookup_PropertyType!$A:$B,2,FALSE()),"other"))</f>
        <v>house</v>
      </c>
      <c r="P454">
        <f t="shared" si="7"/>
        <v>0</v>
      </c>
    </row>
    <row r="455" spans="1:16" ht="15.75" customHeight="1" x14ac:dyDescent="0.35">
      <c r="A455" s="13">
        <v>454</v>
      </c>
      <c r="B455" s="14">
        <v>45810</v>
      </c>
      <c r="C455" s="14">
        <v>45899</v>
      </c>
      <c r="D455" s="16" t="s">
        <v>32</v>
      </c>
      <c r="E455" s="17">
        <v>20000</v>
      </c>
      <c r="F455" s="18"/>
      <c r="G455" s="18"/>
      <c r="H455" s="19">
        <v>600000</v>
      </c>
      <c r="I455" s="19">
        <v>220000</v>
      </c>
      <c r="J455" s="22" t="s">
        <v>33</v>
      </c>
      <c r="K455" s="13">
        <v>48</v>
      </c>
      <c r="L455" s="21" t="s">
        <v>38</v>
      </c>
      <c r="M455" s="21" t="s">
        <v>39</v>
      </c>
      <c r="N455" s="16" t="s">
        <v>42</v>
      </c>
      <c r="O455" t="str">
        <f>IF(TRIM(J455)="","NULL",IFERROR(VLOOKUP(TRIM(J455),Lookup_PropertyType!$A:$B,2,FALSE()),"other"))</f>
        <v>apartment</v>
      </c>
      <c r="P455">
        <f t="shared" si="7"/>
        <v>1</v>
      </c>
    </row>
    <row r="456" spans="1:16" ht="15.75" customHeight="1" x14ac:dyDescent="0.35">
      <c r="A456" s="13">
        <v>455</v>
      </c>
      <c r="B456" s="14">
        <v>45906</v>
      </c>
      <c r="C456" s="15"/>
      <c r="D456" s="16" t="s">
        <v>32</v>
      </c>
      <c r="E456" s="17">
        <v>20000</v>
      </c>
      <c r="F456" s="18"/>
      <c r="G456" s="18"/>
      <c r="H456" s="19">
        <v>180000</v>
      </c>
      <c r="I456" s="19">
        <v>60000</v>
      </c>
      <c r="J456" s="20" t="s">
        <v>37</v>
      </c>
      <c r="K456" s="13">
        <v>36</v>
      </c>
      <c r="L456" s="21" t="s">
        <v>45</v>
      </c>
      <c r="M456" s="21" t="s">
        <v>35</v>
      </c>
      <c r="N456" s="16" t="s">
        <v>36</v>
      </c>
      <c r="O456" t="str">
        <f>IF(TRIM(J456)="","NULL",IFERROR(VLOOKUP(TRIM(J456),Lookup_PropertyType!$A:$B,2,FALSE()),"other"))</f>
        <v>house</v>
      </c>
      <c r="P456">
        <f t="shared" si="7"/>
        <v>0</v>
      </c>
    </row>
    <row r="457" spans="1:16" ht="15.75" customHeight="1" x14ac:dyDescent="0.35">
      <c r="A457" s="13">
        <v>456</v>
      </c>
      <c r="B457" s="14">
        <v>45803</v>
      </c>
      <c r="C457" s="14">
        <v>46101</v>
      </c>
      <c r="D457" s="16" t="s">
        <v>49</v>
      </c>
      <c r="E457" s="17">
        <v>25000</v>
      </c>
      <c r="F457" s="18"/>
      <c r="G457" s="18"/>
      <c r="H457" s="19">
        <v>600000</v>
      </c>
      <c r="I457" s="19">
        <v>150000</v>
      </c>
      <c r="J457" s="22" t="s">
        <v>37</v>
      </c>
      <c r="K457" s="13">
        <v>32</v>
      </c>
      <c r="L457" s="21" t="s">
        <v>34</v>
      </c>
      <c r="M457" s="21" t="s">
        <v>39</v>
      </c>
      <c r="N457" s="16" t="s">
        <v>36</v>
      </c>
      <c r="O457" t="str">
        <f>IF(TRIM(J457)="","NULL",IFERROR(VLOOKUP(TRIM(J457),Lookup_PropertyType!$A:$B,2,FALSE()),"other"))</f>
        <v>house</v>
      </c>
      <c r="P457">
        <f t="shared" si="7"/>
        <v>1</v>
      </c>
    </row>
    <row r="458" spans="1:16" ht="15.75" customHeight="1" x14ac:dyDescent="0.35">
      <c r="A458" s="13">
        <v>457</v>
      </c>
      <c r="B458" s="14">
        <v>45803</v>
      </c>
      <c r="C458" s="14">
        <v>45955</v>
      </c>
      <c r="D458" s="16" t="s">
        <v>58</v>
      </c>
      <c r="E458" s="17">
        <v>18000</v>
      </c>
      <c r="F458" s="18"/>
      <c r="G458" s="18"/>
      <c r="H458" s="19">
        <v>800000</v>
      </c>
      <c r="I458" s="19">
        <v>80000</v>
      </c>
      <c r="J458" s="22" t="s">
        <v>33</v>
      </c>
      <c r="K458" s="13">
        <v>42</v>
      </c>
      <c r="L458" s="21" t="s">
        <v>59</v>
      </c>
      <c r="M458" s="21" t="s">
        <v>35</v>
      </c>
      <c r="N458" s="16" t="s">
        <v>42</v>
      </c>
      <c r="O458" t="str">
        <f>IF(TRIM(J458)="","NULL",IFERROR(VLOOKUP(TRIM(J458),Lookup_PropertyType!$A:$B,2,FALSE()),"other"))</f>
        <v>apartment</v>
      </c>
      <c r="P458">
        <f t="shared" si="7"/>
        <v>1</v>
      </c>
    </row>
    <row r="459" spans="1:16" ht="15.75" customHeight="1" x14ac:dyDescent="0.35">
      <c r="A459" s="13">
        <v>458</v>
      </c>
      <c r="B459" s="14">
        <v>45817</v>
      </c>
      <c r="C459" s="15"/>
      <c r="D459" s="16" t="s">
        <v>32</v>
      </c>
      <c r="E459" s="17">
        <v>17000</v>
      </c>
      <c r="F459" s="18"/>
      <c r="G459" s="18"/>
      <c r="H459" s="19">
        <v>450000</v>
      </c>
      <c r="I459" s="19">
        <v>100000</v>
      </c>
      <c r="J459" s="22" t="s">
        <v>37</v>
      </c>
      <c r="K459" s="13">
        <v>65</v>
      </c>
      <c r="L459" s="21" t="s">
        <v>41</v>
      </c>
      <c r="M459" s="21" t="s">
        <v>39</v>
      </c>
      <c r="N459" s="16" t="s">
        <v>43</v>
      </c>
      <c r="O459" t="str">
        <f>IF(TRIM(J459)="","NULL",IFERROR(VLOOKUP(TRIM(J459),Lookup_PropertyType!$A:$B,2,FALSE()),"other"))</f>
        <v>house</v>
      </c>
      <c r="P459">
        <f t="shared" si="7"/>
        <v>0</v>
      </c>
    </row>
    <row r="460" spans="1:16" ht="15.75" customHeight="1" x14ac:dyDescent="0.35">
      <c r="A460" s="13">
        <v>459</v>
      </c>
      <c r="B460" s="14">
        <v>45831</v>
      </c>
      <c r="C460" s="15"/>
      <c r="D460" s="16" t="s">
        <v>66</v>
      </c>
      <c r="E460" s="17">
        <v>10000</v>
      </c>
      <c r="F460" s="18"/>
      <c r="G460" s="18"/>
      <c r="H460" s="19">
        <v>1200000</v>
      </c>
      <c r="I460" s="19">
        <v>90000</v>
      </c>
      <c r="J460" s="22" t="s">
        <v>37</v>
      </c>
      <c r="K460" s="13">
        <v>47</v>
      </c>
      <c r="L460" s="21" t="s">
        <v>41</v>
      </c>
      <c r="M460" s="21" t="s">
        <v>39</v>
      </c>
      <c r="N460" s="16" t="s">
        <v>50</v>
      </c>
      <c r="O460" t="str">
        <f>IF(TRIM(J460)="","NULL",IFERROR(VLOOKUP(TRIM(J460),Lookup_PropertyType!$A:$B,2,FALSE()),"other"))</f>
        <v>house</v>
      </c>
      <c r="P460">
        <f t="shared" si="7"/>
        <v>0</v>
      </c>
    </row>
    <row r="461" spans="1:16" ht="15.75" customHeight="1" x14ac:dyDescent="0.35">
      <c r="A461" s="13">
        <v>460</v>
      </c>
      <c r="B461" s="14">
        <v>45863</v>
      </c>
      <c r="C461" s="14">
        <v>45926</v>
      </c>
      <c r="D461" s="16" t="s">
        <v>32</v>
      </c>
      <c r="E461" s="17">
        <v>6500</v>
      </c>
      <c r="F461" s="18"/>
      <c r="G461" s="18"/>
      <c r="H461" s="19">
        <v>250000</v>
      </c>
      <c r="I461" s="19">
        <v>50000</v>
      </c>
      <c r="J461" s="22" t="s">
        <v>33</v>
      </c>
      <c r="K461" s="13">
        <v>39</v>
      </c>
      <c r="L461" s="21" t="s">
        <v>38</v>
      </c>
      <c r="M461" s="21" t="s">
        <v>72</v>
      </c>
      <c r="N461" s="16" t="s">
        <v>42</v>
      </c>
      <c r="O461" t="str">
        <f>IF(TRIM(J461)="","NULL",IFERROR(VLOOKUP(TRIM(J461),Lookup_PropertyType!$A:$B,2,FALSE()),"other"))</f>
        <v>apartment</v>
      </c>
      <c r="P461">
        <f t="shared" si="7"/>
        <v>1</v>
      </c>
    </row>
    <row r="462" spans="1:16" ht="15.75" customHeight="1" x14ac:dyDescent="0.35">
      <c r="A462" s="13">
        <v>461</v>
      </c>
      <c r="B462" s="14">
        <v>45852</v>
      </c>
      <c r="C462" s="15"/>
      <c r="D462" s="16" t="s">
        <v>44</v>
      </c>
      <c r="E462" s="17">
        <v>10000</v>
      </c>
      <c r="F462" s="18"/>
      <c r="G462" s="18"/>
      <c r="H462" s="19">
        <v>180000</v>
      </c>
      <c r="I462" s="19">
        <v>100000</v>
      </c>
      <c r="J462" s="22" t="s">
        <v>33</v>
      </c>
      <c r="K462" s="13">
        <v>56</v>
      </c>
      <c r="L462" s="21" t="s">
        <v>38</v>
      </c>
      <c r="M462" s="21" t="s">
        <v>39</v>
      </c>
      <c r="N462" s="16" t="s">
        <v>50</v>
      </c>
      <c r="O462" t="str">
        <f>IF(TRIM(J462)="","NULL",IFERROR(VLOOKUP(TRIM(J462),Lookup_PropertyType!$A:$B,2,FALSE()),"other"))</f>
        <v>apartment</v>
      </c>
      <c r="P462">
        <f t="shared" si="7"/>
        <v>0</v>
      </c>
    </row>
    <row r="463" spans="1:16" ht="15.75" customHeight="1" x14ac:dyDescent="0.35">
      <c r="A463" s="13">
        <v>462</v>
      </c>
      <c r="B463" s="14">
        <v>45856</v>
      </c>
      <c r="C463" s="14">
        <v>45900</v>
      </c>
      <c r="D463" s="16" t="s">
        <v>32</v>
      </c>
      <c r="E463" s="17">
        <v>4446.3100000000004</v>
      </c>
      <c r="F463" s="18"/>
      <c r="G463" s="18"/>
      <c r="H463" s="19">
        <v>180000</v>
      </c>
      <c r="I463" s="19">
        <v>30000</v>
      </c>
      <c r="J463" s="22" t="s">
        <v>33</v>
      </c>
      <c r="K463" s="13">
        <v>27</v>
      </c>
      <c r="L463" s="21" t="s">
        <v>59</v>
      </c>
      <c r="M463" s="21" t="s">
        <v>39</v>
      </c>
      <c r="N463" s="16" t="s">
        <v>51</v>
      </c>
      <c r="O463" t="str">
        <f>IF(TRIM(J463)="","NULL",IFERROR(VLOOKUP(TRIM(J463),Lookup_PropertyType!$A:$B,2,FALSE()),"other"))</f>
        <v>apartment</v>
      </c>
      <c r="P463">
        <f t="shared" si="7"/>
        <v>1</v>
      </c>
    </row>
    <row r="464" spans="1:16" ht="15.75" customHeight="1" x14ac:dyDescent="0.35">
      <c r="A464" s="13">
        <v>463</v>
      </c>
      <c r="B464" s="14">
        <v>45835</v>
      </c>
      <c r="C464" s="14">
        <v>45819</v>
      </c>
      <c r="D464" s="16" t="s">
        <v>32</v>
      </c>
      <c r="E464" s="17">
        <v>10500</v>
      </c>
      <c r="F464" s="18"/>
      <c r="G464" s="18"/>
      <c r="H464" s="19">
        <v>350000</v>
      </c>
      <c r="I464" s="19">
        <v>100000</v>
      </c>
      <c r="J464" s="22" t="s">
        <v>37</v>
      </c>
      <c r="K464" s="13">
        <v>46</v>
      </c>
      <c r="L464" s="21" t="s">
        <v>34</v>
      </c>
      <c r="M464" s="21" t="s">
        <v>39</v>
      </c>
      <c r="N464" s="16" t="s">
        <v>42</v>
      </c>
      <c r="O464" t="str">
        <f>IF(TRIM(J464)="","NULL",IFERROR(VLOOKUP(TRIM(J464),Lookup_PropertyType!$A:$B,2,FALSE()),"other"))</f>
        <v>house</v>
      </c>
      <c r="P464">
        <f t="shared" si="7"/>
        <v>0</v>
      </c>
    </row>
    <row r="465" spans="1:16" ht="15.75" customHeight="1" x14ac:dyDescent="0.35">
      <c r="A465" s="13">
        <v>464</v>
      </c>
      <c r="B465" s="14">
        <v>45810</v>
      </c>
      <c r="C465" s="14">
        <v>45899</v>
      </c>
      <c r="D465" s="16" t="s">
        <v>32</v>
      </c>
      <c r="E465" s="17">
        <v>5000</v>
      </c>
      <c r="F465" s="18"/>
      <c r="G465" s="18"/>
      <c r="H465" s="19">
        <v>220000</v>
      </c>
      <c r="I465" s="19">
        <v>50000</v>
      </c>
      <c r="J465" s="20" t="s">
        <v>33</v>
      </c>
      <c r="K465" s="13">
        <v>35</v>
      </c>
      <c r="L465" s="21" t="s">
        <v>38</v>
      </c>
      <c r="M465" s="21" t="s">
        <v>39</v>
      </c>
      <c r="N465" s="16" t="s">
        <v>42</v>
      </c>
      <c r="O465" t="str">
        <f>IF(TRIM(J465)="","NULL",IFERROR(VLOOKUP(TRIM(J465),Lookup_PropertyType!$A:$B,2,FALSE()),"other"))</f>
        <v>apartment</v>
      </c>
      <c r="P465">
        <f t="shared" si="7"/>
        <v>1</v>
      </c>
    </row>
    <row r="466" spans="1:16" ht="15.75" customHeight="1" x14ac:dyDescent="0.35">
      <c r="A466" s="13">
        <v>465</v>
      </c>
      <c r="B466" s="14">
        <v>45838</v>
      </c>
      <c r="C466" s="15"/>
      <c r="D466" s="16" t="s">
        <v>32</v>
      </c>
      <c r="E466" s="17">
        <v>22000</v>
      </c>
      <c r="F466" s="18"/>
      <c r="G466" s="18"/>
      <c r="H466" s="19">
        <v>530000</v>
      </c>
      <c r="I466" s="19">
        <v>100000</v>
      </c>
      <c r="J466" s="20" t="s">
        <v>37</v>
      </c>
      <c r="K466" s="13">
        <v>39</v>
      </c>
      <c r="L466" s="21" t="s">
        <v>41</v>
      </c>
      <c r="M466" s="21" t="s">
        <v>39</v>
      </c>
      <c r="N466" s="16" t="s">
        <v>36</v>
      </c>
      <c r="O466" t="str">
        <f>IF(TRIM(J466)="","NULL",IFERROR(VLOOKUP(TRIM(J466),Lookup_PropertyType!$A:$B,2,FALSE()),"other"))</f>
        <v>house</v>
      </c>
      <c r="P466">
        <f t="shared" si="7"/>
        <v>0</v>
      </c>
    </row>
    <row r="467" spans="1:16" ht="15.75" customHeight="1" x14ac:dyDescent="0.35">
      <c r="A467" s="13">
        <v>466</v>
      </c>
      <c r="B467" s="14">
        <v>45806</v>
      </c>
      <c r="C467" s="15"/>
      <c r="D467" s="16" t="s">
        <v>49</v>
      </c>
      <c r="E467" s="17">
        <v>18000</v>
      </c>
      <c r="F467" s="18"/>
      <c r="G467" s="18"/>
      <c r="H467" s="19">
        <v>170000</v>
      </c>
      <c r="I467" s="19">
        <v>50000</v>
      </c>
      <c r="J467" s="20" t="s">
        <v>33</v>
      </c>
      <c r="K467" s="13">
        <v>52</v>
      </c>
      <c r="L467" s="21" t="s">
        <v>38</v>
      </c>
      <c r="M467" s="21" t="s">
        <v>39</v>
      </c>
      <c r="N467" s="16" t="s">
        <v>50</v>
      </c>
      <c r="O467" t="str">
        <f>IF(TRIM(J467)="","NULL",IFERROR(VLOOKUP(TRIM(J467),Lookup_PropertyType!$A:$B,2,FALSE()),"other"))</f>
        <v>apartment</v>
      </c>
      <c r="P467">
        <f t="shared" si="7"/>
        <v>0</v>
      </c>
    </row>
    <row r="468" spans="1:16" ht="15.75" customHeight="1" x14ac:dyDescent="0.35">
      <c r="A468" s="13">
        <v>467</v>
      </c>
      <c r="B468" s="14">
        <v>45810</v>
      </c>
      <c r="C468" s="15"/>
      <c r="D468" s="16" t="s">
        <v>32</v>
      </c>
      <c r="E468" s="17">
        <v>10169.17</v>
      </c>
      <c r="F468" s="18"/>
      <c r="G468" s="18"/>
      <c r="H468" s="19">
        <v>380000</v>
      </c>
      <c r="I468" s="19">
        <v>190000</v>
      </c>
      <c r="J468" s="20" t="s">
        <v>37</v>
      </c>
      <c r="K468" s="13">
        <v>53</v>
      </c>
      <c r="L468" s="21" t="s">
        <v>41</v>
      </c>
      <c r="M468" s="21" t="s">
        <v>39</v>
      </c>
      <c r="N468" s="16" t="s">
        <v>36</v>
      </c>
      <c r="O468" t="str">
        <f>IF(TRIM(J468)="","NULL",IFERROR(VLOOKUP(TRIM(J468),Lookup_PropertyType!$A:$B,2,FALSE()),"other"))</f>
        <v>house</v>
      </c>
      <c r="P468">
        <f t="shared" si="7"/>
        <v>0</v>
      </c>
    </row>
    <row r="469" spans="1:16" ht="15.75" customHeight="1" x14ac:dyDescent="0.35">
      <c r="A469" s="13">
        <v>468</v>
      </c>
      <c r="B469" s="14">
        <v>45969</v>
      </c>
      <c r="C469" s="15"/>
      <c r="D469" s="16" t="s">
        <v>46</v>
      </c>
      <c r="E469" s="17">
        <v>4600</v>
      </c>
      <c r="F469" s="18"/>
      <c r="G469" s="18"/>
      <c r="H469" s="19">
        <v>250000</v>
      </c>
      <c r="I469" s="19">
        <v>70000</v>
      </c>
      <c r="J469" s="20" t="s">
        <v>37</v>
      </c>
      <c r="K469" s="13">
        <v>39</v>
      </c>
      <c r="L469" s="21" t="s">
        <v>59</v>
      </c>
      <c r="M469" s="21" t="s">
        <v>39</v>
      </c>
      <c r="N469" s="16" t="s">
        <v>42</v>
      </c>
      <c r="O469" t="str">
        <f>IF(TRIM(J469)="","NULL",IFERROR(VLOOKUP(TRIM(J469),Lookup_PropertyType!$A:$B,2,FALSE()),"other"))</f>
        <v>house</v>
      </c>
      <c r="P469">
        <f t="shared" si="7"/>
        <v>0</v>
      </c>
    </row>
    <row r="470" spans="1:16" ht="15.75" customHeight="1" x14ac:dyDescent="0.35">
      <c r="A470" s="13">
        <v>469</v>
      </c>
      <c r="B470" s="14">
        <v>45814</v>
      </c>
      <c r="C470" s="15"/>
      <c r="D470" s="16" t="s">
        <v>61</v>
      </c>
      <c r="E470" s="17">
        <v>10000</v>
      </c>
      <c r="F470" s="18"/>
      <c r="G470" s="18"/>
      <c r="H470" s="19">
        <v>200000</v>
      </c>
      <c r="I470" s="19">
        <v>70000</v>
      </c>
      <c r="J470" s="20" t="s">
        <v>33</v>
      </c>
      <c r="K470" s="13">
        <v>70</v>
      </c>
      <c r="L470" s="21" t="s">
        <v>38</v>
      </c>
      <c r="M470" s="21" t="s">
        <v>39</v>
      </c>
      <c r="N470" s="16" t="s">
        <v>43</v>
      </c>
      <c r="O470" t="str">
        <f>IF(TRIM(J470)="","NULL",IFERROR(VLOOKUP(TRIM(J470),Lookup_PropertyType!$A:$B,2,FALSE()),"other"))</f>
        <v>apartment</v>
      </c>
      <c r="P470">
        <f t="shared" si="7"/>
        <v>0</v>
      </c>
    </row>
    <row r="471" spans="1:16" ht="15.75" customHeight="1" x14ac:dyDescent="0.35">
      <c r="A471" s="13">
        <v>470</v>
      </c>
      <c r="B471" s="14">
        <v>45837</v>
      </c>
      <c r="C471" s="15"/>
      <c r="D471" s="16" t="s">
        <v>32</v>
      </c>
      <c r="E471" s="17">
        <v>25000</v>
      </c>
      <c r="F471" s="18"/>
      <c r="G471" s="18"/>
      <c r="H471" s="19">
        <v>1400000</v>
      </c>
      <c r="I471" s="19">
        <v>1000000</v>
      </c>
      <c r="J471" s="20" t="s">
        <v>53</v>
      </c>
      <c r="K471" s="13">
        <v>57</v>
      </c>
      <c r="L471" s="21" t="s">
        <v>38</v>
      </c>
      <c r="M471" s="21" t="s">
        <v>39</v>
      </c>
      <c r="N471" s="16" t="s">
        <v>36</v>
      </c>
      <c r="O471" t="str">
        <f>IF(TRIM(J471)="","NULL",IFERROR(VLOOKUP(TRIM(J471),Lookup_PropertyType!$A:$B,2,FALSE()),"other"))</f>
        <v>other</v>
      </c>
      <c r="P471">
        <f t="shared" si="7"/>
        <v>0</v>
      </c>
    </row>
    <row r="472" spans="1:16" ht="15.75" customHeight="1" x14ac:dyDescent="0.35">
      <c r="A472" s="13">
        <v>471</v>
      </c>
      <c r="B472" s="14">
        <v>45828</v>
      </c>
      <c r="C472" s="15"/>
      <c r="D472" s="16" t="s">
        <v>32</v>
      </c>
      <c r="E472" s="17">
        <v>18843</v>
      </c>
      <c r="F472" s="18"/>
      <c r="G472" s="18"/>
      <c r="H472" s="19">
        <v>800000</v>
      </c>
      <c r="I472" s="19">
        <v>30000</v>
      </c>
      <c r="J472" s="20" t="s">
        <v>79</v>
      </c>
      <c r="K472" s="13">
        <v>56</v>
      </c>
      <c r="L472" s="21" t="s">
        <v>38</v>
      </c>
      <c r="M472" s="21" t="s">
        <v>72</v>
      </c>
      <c r="N472" s="16" t="s">
        <v>42</v>
      </c>
      <c r="O472" t="str">
        <f>IF(TRIM(J472)="","NULL",IFERROR(VLOOKUP(TRIM(J472),Lookup_PropertyType!$A:$B,2,FALSE()),"other"))</f>
        <v>house</v>
      </c>
      <c r="P472">
        <f t="shared" si="7"/>
        <v>0</v>
      </c>
    </row>
    <row r="473" spans="1:16" ht="15.75" customHeight="1" x14ac:dyDescent="0.35">
      <c r="A473" s="13">
        <v>472</v>
      </c>
      <c r="B473" s="14">
        <v>45816</v>
      </c>
      <c r="C473" s="15"/>
      <c r="D473" s="16" t="s">
        <v>44</v>
      </c>
      <c r="E473" s="17">
        <v>30000</v>
      </c>
      <c r="F473" s="18"/>
      <c r="G473" s="18"/>
      <c r="H473" s="19">
        <v>175000</v>
      </c>
      <c r="I473" s="19">
        <v>30000</v>
      </c>
      <c r="J473" s="20" t="s">
        <v>33</v>
      </c>
      <c r="K473" s="13">
        <v>42</v>
      </c>
      <c r="L473" s="21" t="s">
        <v>38</v>
      </c>
      <c r="M473" s="21" t="s">
        <v>48</v>
      </c>
      <c r="N473" s="16" t="s">
        <v>42</v>
      </c>
      <c r="O473" t="str">
        <f>IF(TRIM(J473)="","NULL",IFERROR(VLOOKUP(TRIM(J473),Lookup_PropertyType!$A:$B,2,FALSE()),"other"))</f>
        <v>apartment</v>
      </c>
      <c r="P473">
        <f t="shared" si="7"/>
        <v>0</v>
      </c>
    </row>
    <row r="474" spans="1:16" ht="15.75" customHeight="1" x14ac:dyDescent="0.35">
      <c r="A474" s="13">
        <v>473</v>
      </c>
      <c r="B474" s="14">
        <v>45829</v>
      </c>
      <c r="C474" s="15"/>
      <c r="D474" s="16" t="s">
        <v>32</v>
      </c>
      <c r="E474" s="17">
        <v>5452</v>
      </c>
      <c r="F474" s="18"/>
      <c r="G474" s="18"/>
      <c r="H474" s="19">
        <v>400000</v>
      </c>
      <c r="I474" s="19">
        <v>50000</v>
      </c>
      <c r="J474" s="20" t="s">
        <v>37</v>
      </c>
      <c r="K474" s="13">
        <v>46</v>
      </c>
      <c r="L474" s="21" t="s">
        <v>45</v>
      </c>
      <c r="M474" s="21" t="s">
        <v>35</v>
      </c>
      <c r="N474" s="16" t="s">
        <v>42</v>
      </c>
      <c r="O474" t="str">
        <f>IF(TRIM(J474)="","NULL",IFERROR(VLOOKUP(TRIM(J474),Lookup_PropertyType!$A:$B,2,FALSE()),"other"))</f>
        <v>house</v>
      </c>
      <c r="P474">
        <f t="shared" si="7"/>
        <v>0</v>
      </c>
    </row>
    <row r="475" spans="1:16" ht="15.75" customHeight="1" x14ac:dyDescent="0.35">
      <c r="A475" s="13">
        <v>474</v>
      </c>
      <c r="B475" s="14">
        <v>45813</v>
      </c>
      <c r="C475" s="14">
        <v>45926</v>
      </c>
      <c r="D475" s="16" t="s">
        <v>32</v>
      </c>
      <c r="E475" s="17">
        <v>9500</v>
      </c>
      <c r="F475" s="18"/>
      <c r="G475" s="18"/>
      <c r="H475" s="19">
        <v>350000</v>
      </c>
      <c r="I475" s="19">
        <v>50000</v>
      </c>
      <c r="J475" s="20" t="s">
        <v>33</v>
      </c>
      <c r="K475" s="13">
        <v>53</v>
      </c>
      <c r="L475" s="21" t="s">
        <v>38</v>
      </c>
      <c r="M475" s="21" t="s">
        <v>39</v>
      </c>
      <c r="N475" s="16" t="s">
        <v>42</v>
      </c>
      <c r="O475" t="str">
        <f>IF(TRIM(J475)="","NULL",IFERROR(VLOOKUP(TRIM(J475),Lookup_PropertyType!$A:$B,2,FALSE()),"other"))</f>
        <v>apartment</v>
      </c>
      <c r="P475">
        <f t="shared" si="7"/>
        <v>1</v>
      </c>
    </row>
    <row r="476" spans="1:16" ht="15.75" customHeight="1" x14ac:dyDescent="0.35">
      <c r="A476" s="13">
        <v>475</v>
      </c>
      <c r="B476" s="14">
        <v>45813</v>
      </c>
      <c r="C476" s="15"/>
      <c r="D476" s="16" t="s">
        <v>46</v>
      </c>
      <c r="E476" s="17">
        <v>17000</v>
      </c>
      <c r="F476" s="18"/>
      <c r="G476" s="18"/>
      <c r="H476" s="19">
        <v>1000000</v>
      </c>
      <c r="I476" s="19">
        <v>200000</v>
      </c>
      <c r="J476" s="20" t="s">
        <v>33</v>
      </c>
      <c r="K476" s="13">
        <v>62</v>
      </c>
      <c r="L476" s="21" t="s">
        <v>38</v>
      </c>
      <c r="M476" s="21" t="s">
        <v>39</v>
      </c>
      <c r="N476" s="16" t="s">
        <v>36</v>
      </c>
      <c r="O476" t="str">
        <f>IF(TRIM(J476)="","NULL",IFERROR(VLOOKUP(TRIM(J476),Lookup_PropertyType!$A:$B,2,FALSE()),"other"))</f>
        <v>apartment</v>
      </c>
      <c r="P476">
        <f t="shared" si="7"/>
        <v>0</v>
      </c>
    </row>
    <row r="477" spans="1:16" ht="15.75" customHeight="1" x14ac:dyDescent="0.35">
      <c r="A477" s="13">
        <v>476</v>
      </c>
      <c r="B477" s="14">
        <v>45831</v>
      </c>
      <c r="C477" s="15"/>
      <c r="D477" s="16" t="s">
        <v>32</v>
      </c>
      <c r="E477" s="17">
        <v>37620</v>
      </c>
      <c r="F477" s="18"/>
      <c r="G477" s="18"/>
      <c r="H477" s="19">
        <v>500000</v>
      </c>
      <c r="I477" s="19">
        <v>200000</v>
      </c>
      <c r="J477" s="20" t="s">
        <v>37</v>
      </c>
      <c r="K477" s="13">
        <v>45</v>
      </c>
      <c r="L477" s="21" t="s">
        <v>41</v>
      </c>
      <c r="M477" s="21" t="s">
        <v>72</v>
      </c>
      <c r="N477" s="16" t="s">
        <v>42</v>
      </c>
      <c r="O477" t="str">
        <f>IF(TRIM(J477)="","NULL",IFERROR(VLOOKUP(TRIM(J477),Lookup_PropertyType!$A:$B,2,FALSE()),"other"))</f>
        <v>house</v>
      </c>
      <c r="P477">
        <f t="shared" si="7"/>
        <v>0</v>
      </c>
    </row>
    <row r="478" spans="1:16" ht="15.75" customHeight="1" x14ac:dyDescent="0.35">
      <c r="A478" s="13">
        <v>477</v>
      </c>
      <c r="B478" s="14">
        <v>45836</v>
      </c>
      <c r="C478" s="15"/>
      <c r="D478" s="16" t="s">
        <v>58</v>
      </c>
      <c r="E478" s="17">
        <v>14000</v>
      </c>
      <c r="F478" s="18"/>
      <c r="G478" s="18"/>
      <c r="H478" s="19">
        <v>830000</v>
      </c>
      <c r="I478" s="19">
        <v>200000</v>
      </c>
      <c r="J478" s="20" t="s">
        <v>33</v>
      </c>
      <c r="K478" s="13">
        <v>39</v>
      </c>
      <c r="L478" s="21" t="s">
        <v>38</v>
      </c>
      <c r="M478" s="21" t="s">
        <v>39</v>
      </c>
      <c r="N478" s="16" t="s">
        <v>42</v>
      </c>
      <c r="O478" t="str">
        <f>IF(TRIM(J478)="","NULL",IFERROR(VLOOKUP(TRIM(J478),Lookup_PropertyType!$A:$B,2,FALSE()),"other"))</f>
        <v>apartment</v>
      </c>
      <c r="P478">
        <f t="shared" si="7"/>
        <v>0</v>
      </c>
    </row>
    <row r="479" spans="1:16" ht="15.75" customHeight="1" x14ac:dyDescent="0.35">
      <c r="A479" s="13">
        <v>478</v>
      </c>
      <c r="B479" s="14">
        <v>45817</v>
      </c>
      <c r="C479" s="14">
        <v>45915</v>
      </c>
      <c r="D479" s="16" t="s">
        <v>55</v>
      </c>
      <c r="E479" s="17">
        <v>13215</v>
      </c>
      <c r="F479" s="18"/>
      <c r="G479" s="18"/>
      <c r="H479" s="19">
        <v>300000</v>
      </c>
      <c r="I479" s="19">
        <v>150000</v>
      </c>
      <c r="J479" s="20" t="s">
        <v>37</v>
      </c>
      <c r="K479" s="13">
        <v>38</v>
      </c>
      <c r="L479" s="21" t="s">
        <v>59</v>
      </c>
      <c r="M479" s="21" t="s">
        <v>39</v>
      </c>
      <c r="N479" s="16" t="s">
        <v>42</v>
      </c>
      <c r="O479" t="str">
        <f>IF(TRIM(J479)="","NULL",IFERROR(VLOOKUP(TRIM(J479),Lookup_PropertyType!$A:$B,2,FALSE()),"other"))</f>
        <v>house</v>
      </c>
      <c r="P479">
        <f t="shared" si="7"/>
        <v>1</v>
      </c>
    </row>
    <row r="480" spans="1:16" ht="15.75" customHeight="1" x14ac:dyDescent="0.35">
      <c r="A480" s="13">
        <v>479</v>
      </c>
      <c r="B480" s="14">
        <v>45813</v>
      </c>
      <c r="C480" s="15"/>
      <c r="D480" s="16" t="s">
        <v>44</v>
      </c>
      <c r="E480" s="17">
        <v>10000</v>
      </c>
      <c r="F480" s="18"/>
      <c r="G480" s="18"/>
      <c r="H480" s="19">
        <v>500000</v>
      </c>
      <c r="I480" s="19">
        <v>120000</v>
      </c>
      <c r="J480" s="20" t="s">
        <v>37</v>
      </c>
      <c r="K480" s="13">
        <v>53</v>
      </c>
      <c r="L480" s="21" t="s">
        <v>41</v>
      </c>
      <c r="M480" s="21" t="s">
        <v>39</v>
      </c>
      <c r="N480" s="16" t="s">
        <v>42</v>
      </c>
      <c r="O480" t="str">
        <f>IF(TRIM(J480)="","NULL",IFERROR(VLOOKUP(TRIM(J480),Lookup_PropertyType!$A:$B,2,FALSE()),"other"))</f>
        <v>house</v>
      </c>
      <c r="P480">
        <f t="shared" si="7"/>
        <v>0</v>
      </c>
    </row>
    <row r="481" spans="1:16" ht="15.75" customHeight="1" x14ac:dyDescent="0.35">
      <c r="A481" s="13">
        <v>480</v>
      </c>
      <c r="B481" s="14">
        <v>45842</v>
      </c>
      <c r="C481" s="15"/>
      <c r="D481" s="16" t="s">
        <v>32</v>
      </c>
      <c r="E481" s="17">
        <v>9500</v>
      </c>
      <c r="F481" s="18"/>
      <c r="G481" s="18"/>
      <c r="H481" s="19">
        <v>500000</v>
      </c>
      <c r="I481" s="19">
        <v>160000</v>
      </c>
      <c r="J481" s="20" t="s">
        <v>33</v>
      </c>
      <c r="K481" s="13">
        <v>53</v>
      </c>
      <c r="L481" s="21" t="s">
        <v>34</v>
      </c>
      <c r="M481" s="21" t="s">
        <v>39</v>
      </c>
      <c r="N481" s="16" t="s">
        <v>50</v>
      </c>
      <c r="O481" t="str">
        <f>IF(TRIM(J481)="","NULL",IFERROR(VLOOKUP(TRIM(J481),Lookup_PropertyType!$A:$B,2,FALSE()),"other"))</f>
        <v>apartment</v>
      </c>
      <c r="P481">
        <f t="shared" si="7"/>
        <v>0</v>
      </c>
    </row>
    <row r="482" spans="1:16" ht="15.75" customHeight="1" x14ac:dyDescent="0.35">
      <c r="A482" s="13">
        <v>481</v>
      </c>
      <c r="B482" s="14">
        <v>45835</v>
      </c>
      <c r="C482" s="15"/>
      <c r="D482" s="16" t="s">
        <v>32</v>
      </c>
      <c r="E482" s="17">
        <v>8150</v>
      </c>
      <c r="F482" s="18"/>
      <c r="G482" s="18"/>
      <c r="H482" s="19">
        <v>500000</v>
      </c>
      <c r="I482" s="19">
        <v>80000</v>
      </c>
      <c r="J482" s="20" t="s">
        <v>37</v>
      </c>
      <c r="K482" s="13">
        <v>54</v>
      </c>
      <c r="L482" s="21" t="s">
        <v>38</v>
      </c>
      <c r="M482" s="21" t="s">
        <v>35</v>
      </c>
      <c r="N482" s="16" t="s">
        <v>50</v>
      </c>
      <c r="O482" t="str">
        <f>IF(TRIM(J482)="","NULL",IFERROR(VLOOKUP(TRIM(J482),Lookup_PropertyType!$A:$B,2,FALSE()),"other"))</f>
        <v>house</v>
      </c>
      <c r="P482">
        <f t="shared" si="7"/>
        <v>0</v>
      </c>
    </row>
    <row r="483" spans="1:16" ht="15.75" customHeight="1" x14ac:dyDescent="0.35">
      <c r="A483" s="13">
        <v>482</v>
      </c>
      <c r="B483" s="14">
        <v>45837</v>
      </c>
      <c r="C483" s="14">
        <v>45946</v>
      </c>
      <c r="D483" s="16" t="s">
        <v>32</v>
      </c>
      <c r="E483" s="17">
        <v>12000</v>
      </c>
      <c r="F483" s="18"/>
      <c r="G483" s="18"/>
      <c r="H483" s="19">
        <v>600000</v>
      </c>
      <c r="I483" s="19">
        <v>35000</v>
      </c>
      <c r="J483" s="20" t="s">
        <v>33</v>
      </c>
      <c r="K483" s="13">
        <v>47</v>
      </c>
      <c r="L483" s="21" t="s">
        <v>38</v>
      </c>
      <c r="M483" s="21" t="s">
        <v>54</v>
      </c>
      <c r="N483" s="16" t="s">
        <v>36</v>
      </c>
      <c r="O483" t="str">
        <f>IF(TRIM(J483)="","NULL",IFERROR(VLOOKUP(TRIM(J483),Lookup_PropertyType!$A:$B,2,FALSE()),"other"))</f>
        <v>apartment</v>
      </c>
      <c r="P483">
        <f t="shared" si="7"/>
        <v>1</v>
      </c>
    </row>
    <row r="484" spans="1:16" ht="15.75" customHeight="1" x14ac:dyDescent="0.35">
      <c r="A484" s="13">
        <v>483</v>
      </c>
      <c r="B484" s="14">
        <v>45849</v>
      </c>
      <c r="C484" s="15"/>
      <c r="D484" s="16" t="s">
        <v>32</v>
      </c>
      <c r="E484" s="17">
        <v>4000</v>
      </c>
      <c r="F484" s="18"/>
      <c r="G484" s="18"/>
      <c r="H484" s="19">
        <v>300000</v>
      </c>
      <c r="I484" s="19">
        <v>60000</v>
      </c>
      <c r="J484" s="20" t="s">
        <v>37</v>
      </c>
      <c r="K484" s="13">
        <v>63</v>
      </c>
      <c r="L484" s="21" t="s">
        <v>59</v>
      </c>
      <c r="M484" s="21" t="s">
        <v>72</v>
      </c>
      <c r="N484" s="16" t="s">
        <v>43</v>
      </c>
      <c r="O484" t="str">
        <f>IF(TRIM(J484)="","NULL",IFERROR(VLOOKUP(TRIM(J484),Lookup_PropertyType!$A:$B,2,FALSE()),"other"))</f>
        <v>house</v>
      </c>
      <c r="P484">
        <f t="shared" si="7"/>
        <v>0</v>
      </c>
    </row>
    <row r="485" spans="1:16" ht="15.75" customHeight="1" x14ac:dyDescent="0.35">
      <c r="A485" s="13">
        <v>484</v>
      </c>
      <c r="B485" s="14">
        <v>45831</v>
      </c>
      <c r="C485" s="14">
        <v>45838</v>
      </c>
      <c r="D485" s="16" t="s">
        <v>32</v>
      </c>
      <c r="E485" s="17">
        <v>300000</v>
      </c>
      <c r="F485" s="18"/>
      <c r="G485" s="18"/>
      <c r="H485" s="19">
        <v>1100000</v>
      </c>
      <c r="I485" s="19">
        <v>650000</v>
      </c>
      <c r="J485" s="20" t="s">
        <v>33</v>
      </c>
      <c r="K485" s="13">
        <v>38</v>
      </c>
      <c r="L485" s="21" t="s">
        <v>45</v>
      </c>
      <c r="M485" s="21" t="s">
        <v>39</v>
      </c>
      <c r="N485" s="16" t="s">
        <v>42</v>
      </c>
      <c r="O485" t="str">
        <f>IF(TRIM(J485)="","NULL",IFERROR(VLOOKUP(TRIM(J485),Lookup_PropertyType!$A:$B,2,FALSE()),"other"))</f>
        <v>apartment</v>
      </c>
      <c r="P485">
        <f t="shared" si="7"/>
        <v>1</v>
      </c>
    </row>
    <row r="486" spans="1:16" ht="15.75" customHeight="1" x14ac:dyDescent="0.35">
      <c r="A486" s="13">
        <v>485</v>
      </c>
      <c r="B486" s="14">
        <v>45857</v>
      </c>
      <c r="C486" s="15"/>
      <c r="D486" s="16" t="s">
        <v>32</v>
      </c>
      <c r="E486" s="17">
        <v>6100</v>
      </c>
      <c r="F486" s="18"/>
      <c r="G486" s="18"/>
      <c r="H486" s="19">
        <v>500000</v>
      </c>
      <c r="I486" s="19">
        <v>50000</v>
      </c>
      <c r="J486" s="20" t="s">
        <v>33</v>
      </c>
      <c r="K486" s="13">
        <v>58</v>
      </c>
      <c r="L486" s="21" t="s">
        <v>38</v>
      </c>
      <c r="M486" s="21" t="s">
        <v>39</v>
      </c>
      <c r="N486" s="16" t="s">
        <v>43</v>
      </c>
      <c r="O486" t="str">
        <f>IF(TRIM(J486)="","NULL",IFERROR(VLOOKUP(TRIM(J486),Lookup_PropertyType!$A:$B,2,FALSE()),"other"))</f>
        <v>apartment</v>
      </c>
      <c r="P486">
        <f t="shared" si="7"/>
        <v>0</v>
      </c>
    </row>
    <row r="487" spans="1:16" ht="15.75" customHeight="1" x14ac:dyDescent="0.35">
      <c r="A487" s="13">
        <v>486</v>
      </c>
      <c r="B487" s="14">
        <v>45844</v>
      </c>
      <c r="C487" s="15"/>
      <c r="D487" s="16" t="s">
        <v>58</v>
      </c>
      <c r="E487" s="17">
        <v>8000</v>
      </c>
      <c r="F487" s="18"/>
      <c r="G487" s="18"/>
      <c r="H487" s="19">
        <v>180000</v>
      </c>
      <c r="I487" s="19">
        <v>50000</v>
      </c>
      <c r="J487" s="20" t="s">
        <v>33</v>
      </c>
      <c r="K487" s="13">
        <v>42</v>
      </c>
      <c r="L487" s="21" t="s">
        <v>34</v>
      </c>
      <c r="M487" s="21" t="s">
        <v>35</v>
      </c>
      <c r="N487" s="16" t="s">
        <v>42</v>
      </c>
      <c r="O487" t="str">
        <f>IF(TRIM(J487)="","NULL",IFERROR(VLOOKUP(TRIM(J487),Lookup_PropertyType!$A:$B,2,FALSE()),"other"))</f>
        <v>apartment</v>
      </c>
      <c r="P487">
        <f t="shared" si="7"/>
        <v>0</v>
      </c>
    </row>
    <row r="488" spans="1:16" ht="15.75" customHeight="1" x14ac:dyDescent="0.35">
      <c r="A488" s="13">
        <v>487</v>
      </c>
      <c r="B488" s="14">
        <v>45899</v>
      </c>
      <c r="C488" s="15"/>
      <c r="D488" s="16" t="s">
        <v>32</v>
      </c>
      <c r="E488" s="17">
        <v>7500</v>
      </c>
      <c r="F488" s="18"/>
      <c r="G488" s="18"/>
      <c r="H488" s="19">
        <v>220000</v>
      </c>
      <c r="I488" s="19">
        <v>120000</v>
      </c>
      <c r="J488" s="20" t="s">
        <v>37</v>
      </c>
      <c r="K488" s="13">
        <v>36</v>
      </c>
      <c r="L488" s="21" t="s">
        <v>59</v>
      </c>
      <c r="M488" s="21" t="s">
        <v>39</v>
      </c>
      <c r="N488" s="16" t="s">
        <v>51</v>
      </c>
      <c r="O488" t="str">
        <f>IF(TRIM(J488)="","NULL",IFERROR(VLOOKUP(TRIM(J488),Lookup_PropertyType!$A:$B,2,FALSE()),"other"))</f>
        <v>house</v>
      </c>
      <c r="P488">
        <f t="shared" si="7"/>
        <v>0</v>
      </c>
    </row>
    <row r="489" spans="1:16" ht="15.75" customHeight="1" x14ac:dyDescent="0.35">
      <c r="A489" s="13">
        <v>488</v>
      </c>
      <c r="B489" s="14">
        <v>45831</v>
      </c>
      <c r="C489" s="15"/>
      <c r="D489" s="16" t="s">
        <v>32</v>
      </c>
      <c r="E489" s="17">
        <v>4800</v>
      </c>
      <c r="F489" s="13">
        <v>180</v>
      </c>
      <c r="G489" s="13">
        <v>810</v>
      </c>
      <c r="H489" s="19">
        <v>200000</v>
      </c>
      <c r="I489" s="19">
        <v>80000</v>
      </c>
      <c r="J489" s="20" t="s">
        <v>37</v>
      </c>
      <c r="K489" s="13">
        <v>38</v>
      </c>
      <c r="L489" s="21" t="s">
        <v>45</v>
      </c>
      <c r="M489" s="21" t="s">
        <v>39</v>
      </c>
      <c r="N489" s="16" t="s">
        <v>42</v>
      </c>
      <c r="O489" t="str">
        <f>IF(TRIM(J489)="","NULL",IFERROR(VLOOKUP(TRIM(J489),Lookup_PropertyType!$A:$B,2,FALSE()),"other"))</f>
        <v>house</v>
      </c>
      <c r="P489">
        <f t="shared" si="7"/>
        <v>0</v>
      </c>
    </row>
    <row r="490" spans="1:16" ht="15.75" customHeight="1" x14ac:dyDescent="0.35">
      <c r="A490" s="13">
        <v>489</v>
      </c>
      <c r="B490" s="14">
        <v>45828</v>
      </c>
      <c r="C490" s="15"/>
      <c r="D490" s="16" t="s">
        <v>80</v>
      </c>
      <c r="E490" s="17">
        <v>8000</v>
      </c>
      <c r="F490" s="13">
        <v>90</v>
      </c>
      <c r="G490" s="13">
        <v>476</v>
      </c>
      <c r="H490" s="19">
        <v>300000</v>
      </c>
      <c r="I490" s="19">
        <v>110000</v>
      </c>
      <c r="J490" s="20" t="s">
        <v>37</v>
      </c>
      <c r="K490" s="13">
        <v>39</v>
      </c>
      <c r="L490" s="21" t="s">
        <v>59</v>
      </c>
      <c r="M490" s="21" t="s">
        <v>72</v>
      </c>
      <c r="N490" s="16" t="s">
        <v>50</v>
      </c>
      <c r="O490" t="str">
        <f>IF(TRIM(J490)="","NULL",IFERROR(VLOOKUP(TRIM(J490),Lookup_PropertyType!$A:$B,2,FALSE()),"other"))</f>
        <v>house</v>
      </c>
      <c r="P490">
        <f t="shared" si="7"/>
        <v>0</v>
      </c>
    </row>
    <row r="491" spans="1:16" ht="15.75" customHeight="1" x14ac:dyDescent="0.35">
      <c r="A491" s="13">
        <v>490</v>
      </c>
      <c r="B491" s="14">
        <v>45953</v>
      </c>
      <c r="C491" s="14">
        <v>46002</v>
      </c>
      <c r="D491" s="16" t="s">
        <v>32</v>
      </c>
      <c r="E491" s="17">
        <v>10150</v>
      </c>
      <c r="F491" s="13">
        <v>120</v>
      </c>
      <c r="G491" s="13">
        <v>858</v>
      </c>
      <c r="H491" s="19">
        <v>1000000</v>
      </c>
      <c r="I491" s="19">
        <v>70000</v>
      </c>
      <c r="J491" s="20" t="s">
        <v>37</v>
      </c>
      <c r="K491" s="13">
        <v>52</v>
      </c>
      <c r="L491" s="21" t="s">
        <v>41</v>
      </c>
      <c r="M491" s="21" t="s">
        <v>35</v>
      </c>
      <c r="N491" s="16" t="s">
        <v>51</v>
      </c>
      <c r="O491" t="str">
        <f>IF(TRIM(J491)="","NULL",IFERROR(VLOOKUP(TRIM(J491),Lookup_PropertyType!$A:$B,2,FALSE()),"other"))</f>
        <v>house</v>
      </c>
      <c r="P491">
        <f t="shared" si="7"/>
        <v>1</v>
      </c>
    </row>
    <row r="492" spans="1:16" ht="15.75" customHeight="1" x14ac:dyDescent="0.35">
      <c r="A492" s="13">
        <v>491</v>
      </c>
      <c r="B492" s="14">
        <v>45848</v>
      </c>
      <c r="C492" s="15"/>
      <c r="D492" s="16" t="s">
        <v>58</v>
      </c>
      <c r="E492" s="17">
        <v>42000</v>
      </c>
      <c r="F492" s="13">
        <v>180</v>
      </c>
      <c r="G492" s="13">
        <v>413</v>
      </c>
      <c r="H492" s="19">
        <v>3000000</v>
      </c>
      <c r="I492" s="19">
        <v>1200000</v>
      </c>
      <c r="J492" s="20" t="s">
        <v>53</v>
      </c>
      <c r="K492" s="13">
        <v>55</v>
      </c>
      <c r="L492" s="21" t="s">
        <v>41</v>
      </c>
      <c r="M492" s="21" t="s">
        <v>35</v>
      </c>
      <c r="N492" s="16" t="s">
        <v>36</v>
      </c>
      <c r="O492" t="str">
        <f>IF(TRIM(J492)="","NULL",IFERROR(VLOOKUP(TRIM(J492),Lookup_PropertyType!$A:$B,2,FALSE()),"other"))</f>
        <v>other</v>
      </c>
      <c r="P492">
        <f t="shared" si="7"/>
        <v>0</v>
      </c>
    </row>
    <row r="493" spans="1:16" ht="15.75" customHeight="1" x14ac:dyDescent="0.35">
      <c r="A493" s="13">
        <v>492</v>
      </c>
      <c r="B493" s="14">
        <v>45831</v>
      </c>
      <c r="C493" s="15"/>
      <c r="D493" s="16" t="s">
        <v>32</v>
      </c>
      <c r="E493" s="17">
        <v>15000</v>
      </c>
      <c r="F493" s="13">
        <v>180</v>
      </c>
      <c r="G493" s="13">
        <v>986</v>
      </c>
      <c r="H493" s="19">
        <v>250000</v>
      </c>
      <c r="I493" s="19">
        <v>50000</v>
      </c>
      <c r="J493" s="20" t="s">
        <v>37</v>
      </c>
      <c r="K493" s="13">
        <v>50</v>
      </c>
      <c r="L493" s="21" t="s">
        <v>34</v>
      </c>
      <c r="M493" s="21" t="s">
        <v>72</v>
      </c>
      <c r="N493" s="16" t="s">
        <v>40</v>
      </c>
      <c r="O493" t="str">
        <f>IF(TRIM(J493)="","NULL",IFERROR(VLOOKUP(TRIM(J493),Lookup_PropertyType!$A:$B,2,FALSE()),"other"))</f>
        <v>house</v>
      </c>
      <c r="P493">
        <f t="shared" si="7"/>
        <v>0</v>
      </c>
    </row>
    <row r="494" spans="1:16" ht="15.75" customHeight="1" x14ac:dyDescent="0.35">
      <c r="A494" s="13">
        <v>493</v>
      </c>
      <c r="B494" s="14">
        <v>45830</v>
      </c>
      <c r="C494" s="15"/>
      <c r="D494" s="16" t="s">
        <v>32</v>
      </c>
      <c r="E494" s="17">
        <v>8500</v>
      </c>
      <c r="F494" s="13">
        <v>180</v>
      </c>
      <c r="G494" s="13">
        <v>709</v>
      </c>
      <c r="H494" s="19">
        <v>400000</v>
      </c>
      <c r="I494" s="19">
        <v>170000</v>
      </c>
      <c r="J494" s="20" t="s">
        <v>37</v>
      </c>
      <c r="K494" s="13">
        <v>46</v>
      </c>
      <c r="L494" s="21" t="s">
        <v>41</v>
      </c>
      <c r="M494" s="21" t="s">
        <v>39</v>
      </c>
      <c r="N494" s="16" t="s">
        <v>42</v>
      </c>
      <c r="O494" t="str">
        <f>IF(TRIM(J494)="","NULL",IFERROR(VLOOKUP(TRIM(J494),Lookup_PropertyType!$A:$B,2,FALSE()),"other"))</f>
        <v>house</v>
      </c>
      <c r="P494">
        <f t="shared" si="7"/>
        <v>0</v>
      </c>
    </row>
    <row r="495" spans="1:16" ht="15.75" customHeight="1" x14ac:dyDescent="0.35">
      <c r="A495" s="13">
        <v>494</v>
      </c>
      <c r="B495" s="14">
        <v>45830</v>
      </c>
      <c r="C495" s="14">
        <v>45915</v>
      </c>
      <c r="D495" s="16" t="s">
        <v>32</v>
      </c>
      <c r="E495" s="17">
        <v>4400</v>
      </c>
      <c r="F495" s="13">
        <v>180</v>
      </c>
      <c r="G495" s="13">
        <v>869</v>
      </c>
      <c r="H495" s="19">
        <v>500000</v>
      </c>
      <c r="I495" s="19">
        <v>60000</v>
      </c>
      <c r="J495" s="20" t="s">
        <v>33</v>
      </c>
      <c r="K495" s="13">
        <v>56</v>
      </c>
      <c r="L495" s="21" t="s">
        <v>38</v>
      </c>
      <c r="M495" s="21" t="s">
        <v>35</v>
      </c>
      <c r="N495" s="16" t="s">
        <v>48</v>
      </c>
      <c r="O495" t="str">
        <f>IF(TRIM(J495)="","NULL",IFERROR(VLOOKUP(TRIM(J495),Lookup_PropertyType!$A:$B,2,FALSE()),"other"))</f>
        <v>apartment</v>
      </c>
      <c r="P495">
        <f t="shared" si="7"/>
        <v>1</v>
      </c>
    </row>
    <row r="496" spans="1:16" ht="15.75" customHeight="1" x14ac:dyDescent="0.35">
      <c r="A496" s="13">
        <v>495</v>
      </c>
      <c r="B496" s="14">
        <v>45850</v>
      </c>
      <c r="C496" s="14">
        <v>46069</v>
      </c>
      <c r="D496" s="16" t="s">
        <v>76</v>
      </c>
      <c r="E496" s="17">
        <v>12000</v>
      </c>
      <c r="F496" s="13">
        <v>180</v>
      </c>
      <c r="G496" s="13">
        <v>891</v>
      </c>
      <c r="H496" s="19">
        <v>300000</v>
      </c>
      <c r="I496" s="19">
        <v>150000</v>
      </c>
      <c r="J496" s="20" t="s">
        <v>37</v>
      </c>
      <c r="K496" s="13">
        <v>42</v>
      </c>
      <c r="L496" s="21" t="s">
        <v>41</v>
      </c>
      <c r="M496" s="21" t="s">
        <v>35</v>
      </c>
      <c r="N496" s="16" t="s">
        <v>42</v>
      </c>
      <c r="O496" t="str">
        <f>IF(TRIM(J496)="","NULL",IFERROR(VLOOKUP(TRIM(J496),Lookup_PropertyType!$A:$B,2,FALSE()),"other"))</f>
        <v>house</v>
      </c>
      <c r="P496">
        <f t="shared" si="7"/>
        <v>1</v>
      </c>
    </row>
    <row r="497" spans="1:16" ht="15.75" customHeight="1" x14ac:dyDescent="0.35">
      <c r="A497" s="13">
        <v>496</v>
      </c>
      <c r="B497" s="14">
        <v>45890</v>
      </c>
      <c r="C497" s="14">
        <v>45933</v>
      </c>
      <c r="D497" s="16" t="s">
        <v>32</v>
      </c>
      <c r="E497" s="17">
        <v>11000</v>
      </c>
      <c r="F497" s="13">
        <v>180</v>
      </c>
      <c r="G497" s="13">
        <v>666</v>
      </c>
      <c r="H497" s="19">
        <v>600000</v>
      </c>
      <c r="I497" s="19">
        <v>100000</v>
      </c>
      <c r="J497" s="20" t="s">
        <v>37</v>
      </c>
      <c r="K497" s="13">
        <v>59</v>
      </c>
      <c r="L497" s="21" t="s">
        <v>38</v>
      </c>
      <c r="M497" s="21" t="s">
        <v>39</v>
      </c>
      <c r="N497" s="16" t="s">
        <v>42</v>
      </c>
      <c r="O497" t="str">
        <f>IF(TRIM(J497)="","NULL",IFERROR(VLOOKUP(TRIM(J497),Lookup_PropertyType!$A:$B,2,FALSE()),"other"))</f>
        <v>house</v>
      </c>
      <c r="P497">
        <f t="shared" si="7"/>
        <v>1</v>
      </c>
    </row>
    <row r="498" spans="1:16" ht="15.75" customHeight="1" x14ac:dyDescent="0.35">
      <c r="A498" s="13">
        <v>497</v>
      </c>
      <c r="B498" s="14">
        <v>45836</v>
      </c>
      <c r="C498" s="14">
        <v>45946</v>
      </c>
      <c r="D498" s="16" t="s">
        <v>32</v>
      </c>
      <c r="E498" s="17">
        <v>9000</v>
      </c>
      <c r="F498" s="13">
        <v>180</v>
      </c>
      <c r="G498" s="13">
        <v>298</v>
      </c>
      <c r="H498" s="19">
        <v>450000</v>
      </c>
      <c r="I498" s="19">
        <v>120000</v>
      </c>
      <c r="J498" s="20" t="s">
        <v>37</v>
      </c>
      <c r="K498" s="13">
        <v>58</v>
      </c>
      <c r="L498" s="21" t="s">
        <v>38</v>
      </c>
      <c r="M498" s="21" t="s">
        <v>35</v>
      </c>
      <c r="N498" s="16" t="s">
        <v>36</v>
      </c>
      <c r="O498" t="str">
        <f>IF(TRIM(J498)="","NULL",IFERROR(VLOOKUP(TRIM(J498),Lookup_PropertyType!$A:$B,2,FALSE()),"other"))</f>
        <v>house</v>
      </c>
      <c r="P498">
        <f t="shared" si="7"/>
        <v>1</v>
      </c>
    </row>
    <row r="499" spans="1:16" ht="15.75" customHeight="1" x14ac:dyDescent="0.35">
      <c r="A499" s="13">
        <v>498</v>
      </c>
      <c r="B499" s="14">
        <v>45827</v>
      </c>
      <c r="C499" s="14">
        <v>45869</v>
      </c>
      <c r="D499" s="16" t="s">
        <v>32</v>
      </c>
      <c r="E499" s="17">
        <v>25000</v>
      </c>
      <c r="F499" s="13">
        <v>180</v>
      </c>
      <c r="G499" s="13">
        <v>983</v>
      </c>
      <c r="H499" s="19">
        <v>1900000</v>
      </c>
      <c r="I499" s="19">
        <v>200000</v>
      </c>
      <c r="J499" s="20" t="s">
        <v>33</v>
      </c>
      <c r="K499" s="13">
        <v>32</v>
      </c>
      <c r="L499" s="21" t="s">
        <v>59</v>
      </c>
      <c r="M499" s="21" t="s">
        <v>39</v>
      </c>
      <c r="N499" s="16" t="s">
        <v>36</v>
      </c>
      <c r="O499" t="str">
        <f>IF(TRIM(J499)="","NULL",IFERROR(VLOOKUP(TRIM(J499),Lookup_PropertyType!$A:$B,2,FALSE()),"other"))</f>
        <v>apartment</v>
      </c>
      <c r="P499">
        <f t="shared" si="7"/>
        <v>1</v>
      </c>
    </row>
    <row r="500" spans="1:16" ht="15.75" customHeight="1" x14ac:dyDescent="0.35">
      <c r="A500" s="13">
        <v>499</v>
      </c>
      <c r="B500" s="14">
        <v>46019</v>
      </c>
      <c r="C500" s="14">
        <v>46081</v>
      </c>
      <c r="D500" s="16" t="s">
        <v>32</v>
      </c>
      <c r="E500" s="17">
        <v>11000</v>
      </c>
      <c r="F500" s="13">
        <v>120</v>
      </c>
      <c r="G500" s="13">
        <v>354</v>
      </c>
      <c r="H500" s="19">
        <v>600000</v>
      </c>
      <c r="I500" s="19">
        <v>200000</v>
      </c>
      <c r="J500" s="20" t="s">
        <v>37</v>
      </c>
      <c r="K500" s="13">
        <v>49</v>
      </c>
      <c r="L500" s="21" t="s">
        <v>34</v>
      </c>
      <c r="M500" s="21" t="s">
        <v>48</v>
      </c>
      <c r="N500" s="16" t="s">
        <v>50</v>
      </c>
      <c r="O500" t="str">
        <f>IF(TRIM(J500)="","NULL",IFERROR(VLOOKUP(TRIM(J500),Lookup_PropertyType!$A:$B,2,FALSE()),"other"))</f>
        <v>house</v>
      </c>
      <c r="P500">
        <f t="shared" si="7"/>
        <v>1</v>
      </c>
    </row>
    <row r="501" spans="1:16" ht="15.75" customHeight="1" x14ac:dyDescent="0.35">
      <c r="A501" s="13">
        <v>500</v>
      </c>
      <c r="B501" s="14">
        <v>45822</v>
      </c>
      <c r="C501" s="14">
        <v>45890</v>
      </c>
      <c r="D501" s="16" t="s">
        <v>32</v>
      </c>
      <c r="E501" s="17">
        <v>12000</v>
      </c>
      <c r="F501" s="13">
        <v>180</v>
      </c>
      <c r="G501" s="13">
        <v>964</v>
      </c>
      <c r="H501" s="19">
        <v>310000</v>
      </c>
      <c r="I501" s="19">
        <v>145000</v>
      </c>
      <c r="J501" s="20" t="s">
        <v>33</v>
      </c>
      <c r="K501" s="13">
        <v>36</v>
      </c>
      <c r="L501" s="21" t="s">
        <v>38</v>
      </c>
      <c r="M501" s="21" t="s">
        <v>54</v>
      </c>
      <c r="N501" s="16" t="s">
        <v>42</v>
      </c>
      <c r="O501" t="str">
        <f>IF(TRIM(J501)="","NULL",IFERROR(VLOOKUP(TRIM(J501),Lookup_PropertyType!$A:$B,2,FALSE()),"other"))</f>
        <v>apartment</v>
      </c>
      <c r="P501">
        <f t="shared" si="7"/>
        <v>1</v>
      </c>
    </row>
    <row r="502" spans="1:16" ht="15.75" customHeight="1" x14ac:dyDescent="0.35">
      <c r="A502" s="13">
        <v>501</v>
      </c>
      <c r="B502" s="14">
        <v>45858</v>
      </c>
      <c r="C502" s="15"/>
      <c r="D502" s="16" t="s">
        <v>58</v>
      </c>
      <c r="E502" s="17">
        <v>5750</v>
      </c>
      <c r="F502" s="13">
        <v>90</v>
      </c>
      <c r="G502" s="13">
        <v>962</v>
      </c>
      <c r="H502" s="19">
        <v>300000</v>
      </c>
      <c r="I502" s="19">
        <v>100000</v>
      </c>
      <c r="J502" s="20" t="s">
        <v>33</v>
      </c>
      <c r="K502" s="13">
        <v>66</v>
      </c>
      <c r="L502" s="21" t="s">
        <v>38</v>
      </c>
      <c r="M502" s="21" t="s">
        <v>48</v>
      </c>
      <c r="N502" s="16" t="s">
        <v>51</v>
      </c>
      <c r="O502" t="str">
        <f>IF(TRIM(J502)="","NULL",IFERROR(VLOOKUP(TRIM(J502),Lookup_PropertyType!$A:$B,2,FALSE()),"other"))</f>
        <v>apartment</v>
      </c>
      <c r="P502">
        <f t="shared" si="7"/>
        <v>0</v>
      </c>
    </row>
    <row r="503" spans="1:16" ht="15.75" customHeight="1" x14ac:dyDescent="0.35">
      <c r="A503" s="13">
        <v>502</v>
      </c>
      <c r="B503" s="14">
        <v>45863</v>
      </c>
      <c r="C503" s="14">
        <v>45897</v>
      </c>
      <c r="D503" s="16" t="s">
        <v>46</v>
      </c>
      <c r="E503" s="17">
        <v>5000</v>
      </c>
      <c r="F503" s="13">
        <v>180</v>
      </c>
      <c r="G503" s="13">
        <v>381</v>
      </c>
      <c r="H503" s="19">
        <v>180000</v>
      </c>
      <c r="I503" s="19">
        <v>40000</v>
      </c>
      <c r="J503" s="20" t="s">
        <v>33</v>
      </c>
      <c r="K503" s="13">
        <v>40</v>
      </c>
      <c r="L503" s="21" t="s">
        <v>41</v>
      </c>
      <c r="M503" s="21" t="s">
        <v>39</v>
      </c>
      <c r="N503" s="16" t="s">
        <v>36</v>
      </c>
      <c r="O503" t="str">
        <f>IF(TRIM(J503)="","NULL",IFERROR(VLOOKUP(TRIM(J503),Lookup_PropertyType!$A:$B,2,FALSE()),"other"))</f>
        <v>apartment</v>
      </c>
      <c r="P503">
        <f t="shared" si="7"/>
        <v>1</v>
      </c>
    </row>
    <row r="504" spans="1:16" ht="15.75" customHeight="1" x14ac:dyDescent="0.35">
      <c r="A504" s="13">
        <v>503</v>
      </c>
      <c r="B504" s="14">
        <v>45865</v>
      </c>
      <c r="C504" s="15"/>
      <c r="D504" s="16" t="s">
        <v>32</v>
      </c>
      <c r="E504" s="17">
        <v>5600</v>
      </c>
      <c r="F504" s="13">
        <v>180</v>
      </c>
      <c r="G504" s="13">
        <v>592</v>
      </c>
      <c r="H504" s="19">
        <v>350000</v>
      </c>
      <c r="I504" s="19">
        <v>90000</v>
      </c>
      <c r="J504" s="20" t="s">
        <v>33</v>
      </c>
      <c r="K504" s="13">
        <v>43</v>
      </c>
      <c r="L504" s="21" t="s">
        <v>38</v>
      </c>
      <c r="M504" s="21" t="s">
        <v>39</v>
      </c>
      <c r="N504" s="16" t="s">
        <v>50</v>
      </c>
      <c r="O504" t="str">
        <f>IF(TRIM(J504)="","NULL",IFERROR(VLOOKUP(TRIM(J504),Lookup_PropertyType!$A:$B,2,FALSE()),"other"))</f>
        <v>apartment</v>
      </c>
      <c r="P504">
        <f t="shared" si="7"/>
        <v>0</v>
      </c>
    </row>
    <row r="505" spans="1:16" ht="15.75" customHeight="1" x14ac:dyDescent="0.35">
      <c r="A505" s="13">
        <v>504</v>
      </c>
      <c r="B505" s="14">
        <v>45838</v>
      </c>
      <c r="C505" s="14">
        <v>45890</v>
      </c>
      <c r="D505" s="16" t="s">
        <v>32</v>
      </c>
      <c r="E505" s="17">
        <v>16000</v>
      </c>
      <c r="F505" s="13">
        <v>90</v>
      </c>
      <c r="G505" s="13">
        <v>931</v>
      </c>
      <c r="H505" s="19">
        <v>270000</v>
      </c>
      <c r="I505" s="19">
        <v>90000</v>
      </c>
      <c r="J505" s="20" t="s">
        <v>33</v>
      </c>
      <c r="K505" s="13">
        <v>42</v>
      </c>
      <c r="L505" s="21" t="s">
        <v>38</v>
      </c>
      <c r="M505" s="21" t="s">
        <v>39</v>
      </c>
      <c r="N505" s="16" t="s">
        <v>36</v>
      </c>
      <c r="O505" t="str">
        <f>IF(TRIM(J505)="","NULL",IFERROR(VLOOKUP(TRIM(J505),Lookup_PropertyType!$A:$B,2,FALSE()),"other"))</f>
        <v>apartment</v>
      </c>
      <c r="P505">
        <f t="shared" si="7"/>
        <v>1</v>
      </c>
    </row>
    <row r="506" spans="1:16" ht="15.75" customHeight="1" x14ac:dyDescent="0.35">
      <c r="A506" s="13">
        <v>505</v>
      </c>
      <c r="B506" s="14">
        <v>45841</v>
      </c>
      <c r="C506" s="15"/>
      <c r="D506" s="16" t="s">
        <v>58</v>
      </c>
      <c r="E506" s="17">
        <v>13000</v>
      </c>
      <c r="F506" s="13">
        <v>180</v>
      </c>
      <c r="G506" s="13">
        <v>905</v>
      </c>
      <c r="H506" s="19">
        <v>600000</v>
      </c>
      <c r="I506" s="19">
        <v>250000</v>
      </c>
      <c r="J506" s="20" t="s">
        <v>33</v>
      </c>
      <c r="K506" s="13">
        <v>39</v>
      </c>
      <c r="L506" s="21" t="s">
        <v>38</v>
      </c>
      <c r="M506" s="21" t="s">
        <v>35</v>
      </c>
      <c r="N506" s="16" t="s">
        <v>42</v>
      </c>
      <c r="O506" t="str">
        <f>IF(TRIM(J506)="","NULL",IFERROR(VLOOKUP(TRIM(J506),Lookup_PropertyType!$A:$B,2,FALSE()),"other"))</f>
        <v>apartment</v>
      </c>
      <c r="P506">
        <f t="shared" si="7"/>
        <v>0</v>
      </c>
    </row>
    <row r="507" spans="1:16" ht="15.75" customHeight="1" x14ac:dyDescent="0.35">
      <c r="A507" s="13">
        <v>506</v>
      </c>
      <c r="B507" s="14">
        <v>45828</v>
      </c>
      <c r="C507" s="14">
        <v>45899</v>
      </c>
      <c r="D507" s="16" t="s">
        <v>32</v>
      </c>
      <c r="E507" s="17">
        <v>10000</v>
      </c>
      <c r="F507" s="18"/>
      <c r="G507" s="18"/>
      <c r="H507" s="19">
        <v>350000</v>
      </c>
      <c r="I507" s="19">
        <v>100000</v>
      </c>
      <c r="J507" s="20" t="s">
        <v>60</v>
      </c>
      <c r="K507" s="13">
        <v>42</v>
      </c>
      <c r="L507" s="21" t="s">
        <v>38</v>
      </c>
      <c r="M507" s="21" t="s">
        <v>39</v>
      </c>
      <c r="N507" s="16" t="s">
        <v>42</v>
      </c>
      <c r="O507" t="str">
        <f>IF(TRIM(J507)="","NULL",IFERROR(VLOOKUP(TRIM(J507),Lookup_PropertyType!$A:$B,2,FALSE()),"other"))</f>
        <v>other</v>
      </c>
      <c r="P507">
        <f t="shared" si="7"/>
        <v>1</v>
      </c>
    </row>
    <row r="508" spans="1:16" ht="15.75" customHeight="1" x14ac:dyDescent="0.35">
      <c r="A508" s="13">
        <v>507</v>
      </c>
      <c r="B508" s="14">
        <v>45850</v>
      </c>
      <c r="C508" s="15"/>
      <c r="D508" s="16" t="s">
        <v>46</v>
      </c>
      <c r="E508" s="17">
        <v>21000</v>
      </c>
      <c r="F508" s="18"/>
      <c r="G508" s="18"/>
      <c r="H508" s="19">
        <v>300000</v>
      </c>
      <c r="I508" s="19">
        <v>200000</v>
      </c>
      <c r="J508" s="20" t="s">
        <v>33</v>
      </c>
      <c r="K508" s="13">
        <v>37</v>
      </c>
      <c r="L508" s="21" t="s">
        <v>38</v>
      </c>
      <c r="M508" s="21" t="s">
        <v>35</v>
      </c>
      <c r="N508" s="16" t="s">
        <v>42</v>
      </c>
      <c r="O508" t="str">
        <f>IF(TRIM(J508)="","NULL",IFERROR(VLOOKUP(TRIM(J508),Lookup_PropertyType!$A:$B,2,FALSE()),"other"))</f>
        <v>apartment</v>
      </c>
      <c r="P508">
        <f t="shared" si="7"/>
        <v>0</v>
      </c>
    </row>
    <row r="509" spans="1:16" ht="15.75" customHeight="1" x14ac:dyDescent="0.35">
      <c r="A509" s="13">
        <v>508</v>
      </c>
      <c r="B509" s="14">
        <v>45831</v>
      </c>
      <c r="C509" s="15"/>
      <c r="D509" s="16" t="s">
        <v>32</v>
      </c>
      <c r="E509" s="17">
        <v>5500</v>
      </c>
      <c r="F509" s="13">
        <v>60</v>
      </c>
      <c r="G509" s="13">
        <v>840</v>
      </c>
      <c r="H509" s="19">
        <v>450000</v>
      </c>
      <c r="I509" s="19">
        <v>50000</v>
      </c>
      <c r="J509" s="20" t="s">
        <v>33</v>
      </c>
      <c r="K509" s="13">
        <v>54</v>
      </c>
      <c r="L509" s="21" t="s">
        <v>38</v>
      </c>
      <c r="M509" s="21" t="s">
        <v>39</v>
      </c>
      <c r="N509" s="16" t="s">
        <v>51</v>
      </c>
      <c r="O509" t="str">
        <f>IF(TRIM(J509)="","NULL",IFERROR(VLOOKUP(TRIM(J509),Lookup_PropertyType!$A:$B,2,FALSE()),"other"))</f>
        <v>apartment</v>
      </c>
      <c r="P509">
        <f t="shared" si="7"/>
        <v>0</v>
      </c>
    </row>
    <row r="510" spans="1:16" ht="15.75" customHeight="1" x14ac:dyDescent="0.35">
      <c r="A510" s="13">
        <v>509</v>
      </c>
      <c r="B510" s="14">
        <v>45838</v>
      </c>
      <c r="C510" s="15"/>
      <c r="D510" s="16" t="s">
        <v>49</v>
      </c>
      <c r="E510" s="17">
        <v>20000</v>
      </c>
      <c r="F510" s="13">
        <v>180</v>
      </c>
      <c r="G510" s="13">
        <v>755</v>
      </c>
      <c r="H510" s="19">
        <v>800000</v>
      </c>
      <c r="I510" s="19">
        <v>150000</v>
      </c>
      <c r="J510" s="20" t="s">
        <v>33</v>
      </c>
      <c r="K510" s="13">
        <v>46</v>
      </c>
      <c r="L510" s="21" t="s">
        <v>38</v>
      </c>
      <c r="M510" s="21" t="s">
        <v>39</v>
      </c>
      <c r="N510" s="16" t="s">
        <v>36</v>
      </c>
      <c r="O510" t="str">
        <f>IF(TRIM(J510)="","NULL",IFERROR(VLOOKUP(TRIM(J510),Lookup_PropertyType!$A:$B,2,FALSE()),"other"))</f>
        <v>apartment</v>
      </c>
      <c r="P510">
        <f t="shared" si="7"/>
        <v>0</v>
      </c>
    </row>
    <row r="511" spans="1:16" ht="15.75" customHeight="1" x14ac:dyDescent="0.35">
      <c r="A511" s="13">
        <v>510</v>
      </c>
      <c r="B511" s="14">
        <v>45856</v>
      </c>
      <c r="C511" s="15"/>
      <c r="D511" s="16" t="s">
        <v>49</v>
      </c>
      <c r="E511" s="17">
        <v>15000</v>
      </c>
      <c r="F511" s="13">
        <v>120</v>
      </c>
      <c r="G511" s="13">
        <v>427</v>
      </c>
      <c r="H511" s="19">
        <v>500000</v>
      </c>
      <c r="I511" s="19">
        <v>250000</v>
      </c>
      <c r="J511" s="20" t="s">
        <v>37</v>
      </c>
      <c r="K511" s="13">
        <v>44</v>
      </c>
      <c r="L511" s="21" t="s">
        <v>38</v>
      </c>
      <c r="M511" s="21" t="s">
        <v>39</v>
      </c>
      <c r="N511" s="16" t="s">
        <v>50</v>
      </c>
      <c r="O511" t="str">
        <f>IF(TRIM(J511)="","NULL",IFERROR(VLOOKUP(TRIM(J511),Lookup_PropertyType!$A:$B,2,FALSE()),"other"))</f>
        <v>house</v>
      </c>
      <c r="P511">
        <f t="shared" si="7"/>
        <v>0</v>
      </c>
    </row>
    <row r="512" spans="1:16" ht="15.75" customHeight="1" x14ac:dyDescent="0.35">
      <c r="A512" s="13">
        <v>511</v>
      </c>
      <c r="B512" s="14">
        <v>45848</v>
      </c>
      <c r="C512" s="15"/>
      <c r="D512" s="16" t="s">
        <v>32</v>
      </c>
      <c r="E512" s="17">
        <v>14000</v>
      </c>
      <c r="F512" s="13">
        <v>180</v>
      </c>
      <c r="G512" s="13">
        <v>547</v>
      </c>
      <c r="H512" s="19">
        <v>1400000</v>
      </c>
      <c r="I512" s="19">
        <v>150000</v>
      </c>
      <c r="J512" s="20" t="s">
        <v>33</v>
      </c>
      <c r="K512" s="13">
        <v>59</v>
      </c>
      <c r="L512" s="21" t="s">
        <v>38</v>
      </c>
      <c r="M512" s="21" t="s">
        <v>39</v>
      </c>
      <c r="N512" s="16" t="s">
        <v>36</v>
      </c>
      <c r="O512" t="str">
        <f>IF(TRIM(J512)="","NULL",IFERROR(VLOOKUP(TRIM(J512),Lookup_PropertyType!$A:$B,2,FALSE()),"other"))</f>
        <v>apartment</v>
      </c>
      <c r="P512">
        <f t="shared" si="7"/>
        <v>0</v>
      </c>
    </row>
    <row r="513" spans="1:16" ht="15.75" customHeight="1" x14ac:dyDescent="0.35">
      <c r="A513" s="13">
        <v>512</v>
      </c>
      <c r="B513" s="14">
        <v>45841</v>
      </c>
      <c r="C513" s="14">
        <v>45926</v>
      </c>
      <c r="D513" s="16" t="s">
        <v>32</v>
      </c>
      <c r="E513" s="17">
        <v>18000</v>
      </c>
      <c r="F513" s="13">
        <v>180</v>
      </c>
      <c r="G513" s="13">
        <v>398</v>
      </c>
      <c r="H513" s="19">
        <v>700000</v>
      </c>
      <c r="I513" s="19">
        <v>200000</v>
      </c>
      <c r="J513" s="20" t="s">
        <v>33</v>
      </c>
      <c r="K513" s="13">
        <v>37</v>
      </c>
      <c r="L513" s="21" t="s">
        <v>41</v>
      </c>
      <c r="M513" s="21" t="s">
        <v>48</v>
      </c>
      <c r="N513" s="16" t="s">
        <v>36</v>
      </c>
      <c r="O513" t="str">
        <f>IF(TRIM(J513)="","NULL",IFERROR(VLOOKUP(TRIM(J513),Lookup_PropertyType!$A:$B,2,FALSE()),"other"))</f>
        <v>apartment</v>
      </c>
      <c r="P513">
        <f t="shared" si="7"/>
        <v>1</v>
      </c>
    </row>
    <row r="514" spans="1:16" ht="15.75" customHeight="1" x14ac:dyDescent="0.35">
      <c r="A514" s="13">
        <v>513</v>
      </c>
      <c r="B514" s="14">
        <v>45914</v>
      </c>
      <c r="C514" s="15"/>
      <c r="D514" s="16" t="s">
        <v>32</v>
      </c>
      <c r="E514" s="17">
        <v>5400</v>
      </c>
      <c r="F514" s="13">
        <v>180</v>
      </c>
      <c r="G514" s="13">
        <v>253</v>
      </c>
      <c r="H514" s="19">
        <v>300000</v>
      </c>
      <c r="I514" s="19">
        <v>40000</v>
      </c>
      <c r="J514" s="20" t="s">
        <v>37</v>
      </c>
      <c r="K514" s="13">
        <v>33</v>
      </c>
      <c r="L514" s="21" t="s">
        <v>38</v>
      </c>
      <c r="M514" s="21" t="s">
        <v>54</v>
      </c>
      <c r="N514" s="16" t="s">
        <v>42</v>
      </c>
      <c r="O514" t="str">
        <f>IF(TRIM(J514)="","NULL",IFERROR(VLOOKUP(TRIM(J514),Lookup_PropertyType!$A:$B,2,FALSE()),"other"))</f>
        <v>house</v>
      </c>
      <c r="P514">
        <f t="shared" ref="P514:P577" si="8">IF(AND(C514&lt;&gt;"",C514&gt;=B514),1,0)</f>
        <v>0</v>
      </c>
    </row>
    <row r="515" spans="1:16" ht="15.75" customHeight="1" x14ac:dyDescent="0.35">
      <c r="A515" s="13">
        <v>514</v>
      </c>
      <c r="B515" s="14">
        <v>45831</v>
      </c>
      <c r="C515" s="15"/>
      <c r="D515" s="16" t="s">
        <v>32</v>
      </c>
      <c r="E515" s="17">
        <v>7000</v>
      </c>
      <c r="F515" s="13">
        <v>180</v>
      </c>
      <c r="G515" s="13">
        <v>441</v>
      </c>
      <c r="H515" s="19">
        <v>500000</v>
      </c>
      <c r="I515" s="19">
        <v>30000</v>
      </c>
      <c r="J515" s="20" t="s">
        <v>37</v>
      </c>
      <c r="K515" s="13">
        <v>45</v>
      </c>
      <c r="L515" s="21" t="s">
        <v>38</v>
      </c>
      <c r="M515" s="21" t="s">
        <v>54</v>
      </c>
      <c r="N515" s="16" t="s">
        <v>42</v>
      </c>
      <c r="O515" t="str">
        <f>IF(TRIM(J515)="","NULL",IFERROR(VLOOKUP(TRIM(J515),Lookup_PropertyType!$A:$B,2,FALSE()),"other"))</f>
        <v>house</v>
      </c>
      <c r="P515">
        <f t="shared" si="8"/>
        <v>0</v>
      </c>
    </row>
    <row r="516" spans="1:16" ht="15.75" customHeight="1" x14ac:dyDescent="0.35">
      <c r="A516" s="13">
        <v>515</v>
      </c>
      <c r="B516" s="14">
        <v>45831</v>
      </c>
      <c r="C516" s="15"/>
      <c r="D516" s="16" t="s">
        <v>32</v>
      </c>
      <c r="E516" s="17">
        <v>6000</v>
      </c>
      <c r="F516" s="13">
        <v>180</v>
      </c>
      <c r="G516" s="13">
        <v>745</v>
      </c>
      <c r="H516" s="19">
        <v>180000</v>
      </c>
      <c r="I516" s="19">
        <v>60000</v>
      </c>
      <c r="J516" s="20" t="s">
        <v>33</v>
      </c>
      <c r="K516" s="13">
        <v>70</v>
      </c>
      <c r="L516" s="21" t="s">
        <v>41</v>
      </c>
      <c r="M516" s="21" t="s">
        <v>39</v>
      </c>
      <c r="N516" s="16" t="s">
        <v>43</v>
      </c>
      <c r="O516" t="str">
        <f>IF(TRIM(J516)="","NULL",IFERROR(VLOOKUP(TRIM(J516),Lookup_PropertyType!$A:$B,2,FALSE()),"other"))</f>
        <v>apartment</v>
      </c>
      <c r="P516">
        <f t="shared" si="8"/>
        <v>0</v>
      </c>
    </row>
    <row r="517" spans="1:16" ht="15.75" customHeight="1" x14ac:dyDescent="0.35">
      <c r="A517" s="13">
        <v>516</v>
      </c>
      <c r="B517" s="14">
        <v>45941</v>
      </c>
      <c r="C517" s="15"/>
      <c r="D517" s="16" t="s">
        <v>32</v>
      </c>
      <c r="E517" s="17">
        <v>20000</v>
      </c>
      <c r="F517" s="13">
        <v>90</v>
      </c>
      <c r="G517" s="13">
        <v>975</v>
      </c>
      <c r="H517" s="19">
        <v>1500000</v>
      </c>
      <c r="I517" s="19">
        <v>500000</v>
      </c>
      <c r="J517" s="20" t="s">
        <v>37</v>
      </c>
      <c r="K517" s="13">
        <v>56</v>
      </c>
      <c r="L517" s="21" t="s">
        <v>41</v>
      </c>
      <c r="M517" s="21" t="s">
        <v>35</v>
      </c>
      <c r="N517" s="16" t="s">
        <v>36</v>
      </c>
      <c r="O517" t="str">
        <f>IF(TRIM(J517)="","NULL",IFERROR(VLOOKUP(TRIM(J517),Lookup_PropertyType!$A:$B,2,FALSE()),"other"))</f>
        <v>house</v>
      </c>
      <c r="P517">
        <f t="shared" si="8"/>
        <v>0</v>
      </c>
    </row>
    <row r="518" spans="1:16" ht="15.75" customHeight="1" x14ac:dyDescent="0.35">
      <c r="A518" s="13">
        <v>517</v>
      </c>
      <c r="B518" s="14">
        <v>45848</v>
      </c>
      <c r="C518" s="15"/>
      <c r="D518" s="16" t="s">
        <v>58</v>
      </c>
      <c r="E518" s="17">
        <v>4000</v>
      </c>
      <c r="F518" s="13">
        <v>180</v>
      </c>
      <c r="G518" s="13">
        <v>253</v>
      </c>
      <c r="H518" s="19">
        <v>180000</v>
      </c>
      <c r="I518" s="19">
        <v>60000</v>
      </c>
      <c r="J518" s="20" t="s">
        <v>37</v>
      </c>
      <c r="K518" s="13">
        <v>55</v>
      </c>
      <c r="L518" s="21" t="s">
        <v>41</v>
      </c>
      <c r="M518" s="21" t="s">
        <v>48</v>
      </c>
      <c r="N518" s="16" t="s">
        <v>40</v>
      </c>
      <c r="O518" t="str">
        <f>IF(TRIM(J518)="","NULL",IFERROR(VLOOKUP(TRIM(J518),Lookup_PropertyType!$A:$B,2,FALSE()),"other"))</f>
        <v>house</v>
      </c>
      <c r="P518">
        <f t="shared" si="8"/>
        <v>0</v>
      </c>
    </row>
    <row r="519" spans="1:16" ht="15.75" customHeight="1" x14ac:dyDescent="0.35">
      <c r="A519" s="13">
        <v>518</v>
      </c>
      <c r="B519" s="14">
        <v>45836</v>
      </c>
      <c r="C519" s="15"/>
      <c r="D519" s="16" t="s">
        <v>32</v>
      </c>
      <c r="E519" s="17">
        <v>19000</v>
      </c>
      <c r="F519" s="13">
        <v>180</v>
      </c>
      <c r="G519" s="13">
        <v>587</v>
      </c>
      <c r="H519" s="19">
        <v>310000</v>
      </c>
      <c r="I519" s="19">
        <v>150000</v>
      </c>
      <c r="J519" s="20" t="s">
        <v>33</v>
      </c>
      <c r="K519" s="13">
        <v>40</v>
      </c>
      <c r="L519" s="21" t="s">
        <v>38</v>
      </c>
      <c r="M519" s="21" t="s">
        <v>54</v>
      </c>
      <c r="N519" s="16" t="s">
        <v>42</v>
      </c>
      <c r="O519" t="str">
        <f>IF(TRIM(J519)="","NULL",IFERROR(VLOOKUP(TRIM(J519),Lookup_PropertyType!$A:$B,2,FALSE()),"other"))</f>
        <v>apartment</v>
      </c>
      <c r="P519">
        <f t="shared" si="8"/>
        <v>0</v>
      </c>
    </row>
    <row r="520" spans="1:16" ht="15.75" customHeight="1" x14ac:dyDescent="0.35">
      <c r="A520" s="13">
        <v>519</v>
      </c>
      <c r="B520" s="14">
        <v>45855</v>
      </c>
      <c r="C520" s="15"/>
      <c r="D520" s="16" t="s">
        <v>32</v>
      </c>
      <c r="E520" s="17">
        <v>3900</v>
      </c>
      <c r="F520" s="13">
        <v>180</v>
      </c>
      <c r="G520" s="13">
        <v>256</v>
      </c>
      <c r="H520" s="19">
        <v>280000</v>
      </c>
      <c r="I520" s="19">
        <v>30000</v>
      </c>
      <c r="J520" s="20" t="s">
        <v>37</v>
      </c>
      <c r="K520" s="13">
        <v>66</v>
      </c>
      <c r="L520" s="21" t="s">
        <v>38</v>
      </c>
      <c r="M520" s="21" t="s">
        <v>39</v>
      </c>
      <c r="N520" s="16" t="s">
        <v>43</v>
      </c>
      <c r="O520" t="str">
        <f>IF(TRIM(J520)="","NULL",IFERROR(VLOOKUP(TRIM(J520),Lookup_PropertyType!$A:$B,2,FALSE()),"other"))</f>
        <v>house</v>
      </c>
      <c r="P520">
        <f t="shared" si="8"/>
        <v>0</v>
      </c>
    </row>
    <row r="521" spans="1:16" ht="15.75" customHeight="1" x14ac:dyDescent="0.35">
      <c r="A521" s="13">
        <v>520</v>
      </c>
      <c r="B521" s="14">
        <v>45831</v>
      </c>
      <c r="C521" s="14">
        <v>45886</v>
      </c>
      <c r="D521" s="16" t="s">
        <v>32</v>
      </c>
      <c r="E521" s="17">
        <v>5000</v>
      </c>
      <c r="F521" s="13">
        <v>180</v>
      </c>
      <c r="G521" s="13">
        <v>598</v>
      </c>
      <c r="H521" s="19">
        <v>300000</v>
      </c>
      <c r="I521" s="19">
        <v>70000</v>
      </c>
      <c r="J521" s="20" t="s">
        <v>33</v>
      </c>
      <c r="K521" s="13">
        <v>49</v>
      </c>
      <c r="L521" s="21" t="s">
        <v>38</v>
      </c>
      <c r="M521" s="21" t="s">
        <v>54</v>
      </c>
      <c r="N521" s="16" t="s">
        <v>42</v>
      </c>
      <c r="O521" t="str">
        <f>IF(TRIM(J521)="","NULL",IFERROR(VLOOKUP(TRIM(J521),Lookup_PropertyType!$A:$B,2,FALSE()),"other"))</f>
        <v>apartment</v>
      </c>
      <c r="P521">
        <f t="shared" si="8"/>
        <v>1</v>
      </c>
    </row>
    <row r="522" spans="1:16" ht="15.75" customHeight="1" x14ac:dyDescent="0.35">
      <c r="A522" s="13">
        <v>521</v>
      </c>
      <c r="B522" s="14">
        <v>45836</v>
      </c>
      <c r="C522" s="15"/>
      <c r="D522" s="16" t="s">
        <v>32</v>
      </c>
      <c r="E522" s="17">
        <v>16500</v>
      </c>
      <c r="F522" s="13">
        <v>180</v>
      </c>
      <c r="G522" s="13">
        <v>967</v>
      </c>
      <c r="H522" s="19">
        <v>500000</v>
      </c>
      <c r="I522" s="19">
        <v>150000</v>
      </c>
      <c r="J522" s="20" t="s">
        <v>71</v>
      </c>
      <c r="K522" s="13">
        <v>40</v>
      </c>
      <c r="L522" s="21" t="s">
        <v>38</v>
      </c>
      <c r="M522" s="21" t="s">
        <v>39</v>
      </c>
      <c r="N522" s="16" t="s">
        <v>42</v>
      </c>
      <c r="O522" t="str">
        <f>IF(TRIM(J522)="","NULL",IFERROR(VLOOKUP(TRIM(J522),Lookup_PropertyType!$A:$B,2,FALSE()),"other"))</f>
        <v>house</v>
      </c>
      <c r="P522">
        <f t="shared" si="8"/>
        <v>0</v>
      </c>
    </row>
    <row r="523" spans="1:16" ht="15.75" customHeight="1" x14ac:dyDescent="0.35">
      <c r="A523" s="13">
        <v>522</v>
      </c>
      <c r="B523" s="14">
        <v>45877</v>
      </c>
      <c r="C523" s="15"/>
      <c r="D523" s="16" t="s">
        <v>68</v>
      </c>
      <c r="E523" s="17">
        <v>15000</v>
      </c>
      <c r="F523" s="13">
        <v>180</v>
      </c>
      <c r="G523" s="13">
        <v>319</v>
      </c>
      <c r="H523" s="19">
        <v>250000</v>
      </c>
      <c r="I523" s="19">
        <v>100000</v>
      </c>
      <c r="J523" s="20" t="s">
        <v>33</v>
      </c>
      <c r="K523" s="13">
        <v>56</v>
      </c>
      <c r="L523" s="21" t="s">
        <v>38</v>
      </c>
      <c r="M523" s="21" t="s">
        <v>39</v>
      </c>
      <c r="N523" s="16" t="s">
        <v>50</v>
      </c>
      <c r="O523" t="str">
        <f>IF(TRIM(J523)="","NULL",IFERROR(VLOOKUP(TRIM(J523),Lookup_PropertyType!$A:$B,2,FALSE()),"other"))</f>
        <v>apartment</v>
      </c>
      <c r="P523">
        <f t="shared" si="8"/>
        <v>0</v>
      </c>
    </row>
    <row r="524" spans="1:16" ht="15.75" customHeight="1" x14ac:dyDescent="0.35">
      <c r="A524" s="13">
        <v>523</v>
      </c>
      <c r="B524" s="14">
        <v>45856</v>
      </c>
      <c r="C524" s="15"/>
      <c r="D524" s="16" t="s">
        <v>32</v>
      </c>
      <c r="E524" s="17">
        <v>20000</v>
      </c>
      <c r="F524" s="13">
        <v>180</v>
      </c>
      <c r="G524" s="13">
        <v>377</v>
      </c>
      <c r="H524" s="19">
        <v>400000</v>
      </c>
      <c r="I524" s="19">
        <v>220000</v>
      </c>
      <c r="J524" s="20" t="s">
        <v>33</v>
      </c>
      <c r="K524" s="13">
        <v>44</v>
      </c>
      <c r="L524" s="21" t="s">
        <v>38</v>
      </c>
      <c r="M524" s="21" t="s">
        <v>39</v>
      </c>
      <c r="N524" s="16" t="s">
        <v>36</v>
      </c>
      <c r="O524" t="str">
        <f>IF(TRIM(J524)="","NULL",IFERROR(VLOOKUP(TRIM(J524),Lookup_PropertyType!$A:$B,2,FALSE()),"other"))</f>
        <v>apartment</v>
      </c>
      <c r="P524">
        <f t="shared" si="8"/>
        <v>0</v>
      </c>
    </row>
    <row r="525" spans="1:16" ht="15.75" customHeight="1" x14ac:dyDescent="0.35">
      <c r="A525" s="13">
        <v>524</v>
      </c>
      <c r="B525" s="14">
        <v>45869</v>
      </c>
      <c r="C525" s="14">
        <v>45943</v>
      </c>
      <c r="D525" s="16" t="s">
        <v>32</v>
      </c>
      <c r="E525" s="17">
        <v>7500</v>
      </c>
      <c r="F525" s="13">
        <v>180</v>
      </c>
      <c r="G525" s="13">
        <v>23</v>
      </c>
      <c r="H525" s="19">
        <v>300000</v>
      </c>
      <c r="I525" s="19">
        <v>90000</v>
      </c>
      <c r="J525" s="20" t="s">
        <v>37</v>
      </c>
      <c r="K525" s="13">
        <v>44</v>
      </c>
      <c r="L525" s="21" t="s">
        <v>38</v>
      </c>
      <c r="M525" s="21" t="s">
        <v>39</v>
      </c>
      <c r="N525" s="16" t="s">
        <v>42</v>
      </c>
      <c r="O525" t="str">
        <f>IF(TRIM(J525)="","NULL",IFERROR(VLOOKUP(TRIM(J525),Lookup_PropertyType!$A:$B,2,FALSE()),"other"))</f>
        <v>house</v>
      </c>
      <c r="P525">
        <f t="shared" si="8"/>
        <v>1</v>
      </c>
    </row>
    <row r="526" spans="1:16" ht="15.75" customHeight="1" x14ac:dyDescent="0.35">
      <c r="A526" s="13">
        <v>525</v>
      </c>
      <c r="B526" s="14">
        <v>45842</v>
      </c>
      <c r="C526" s="15"/>
      <c r="D526" s="16" t="s">
        <v>32</v>
      </c>
      <c r="E526" s="17">
        <v>35000</v>
      </c>
      <c r="F526" s="13">
        <v>120</v>
      </c>
      <c r="G526" s="13">
        <v>914</v>
      </c>
      <c r="H526" s="19">
        <v>600000</v>
      </c>
      <c r="I526" s="19">
        <v>300000</v>
      </c>
      <c r="J526" s="20" t="s">
        <v>37</v>
      </c>
      <c r="K526" s="13">
        <v>43</v>
      </c>
      <c r="L526" s="21" t="s">
        <v>64</v>
      </c>
      <c r="M526" s="21" t="s">
        <v>35</v>
      </c>
      <c r="N526" s="16" t="s">
        <v>50</v>
      </c>
      <c r="O526" t="str">
        <f>IF(TRIM(J526)="","NULL",IFERROR(VLOOKUP(TRIM(J526),Lookup_PropertyType!$A:$B,2,FALSE()),"other"))</f>
        <v>house</v>
      </c>
      <c r="P526">
        <f t="shared" si="8"/>
        <v>0</v>
      </c>
    </row>
    <row r="527" spans="1:16" ht="15.75" customHeight="1" x14ac:dyDescent="0.35">
      <c r="A527" s="13">
        <v>526</v>
      </c>
      <c r="B527" s="14">
        <v>45856</v>
      </c>
      <c r="C527" s="15"/>
      <c r="D527" s="16" t="s">
        <v>32</v>
      </c>
      <c r="E527" s="17">
        <v>6000</v>
      </c>
      <c r="F527" s="13">
        <v>120</v>
      </c>
      <c r="G527" s="13">
        <v>981</v>
      </c>
      <c r="H527" s="19">
        <v>250000</v>
      </c>
      <c r="I527" s="19">
        <v>30000</v>
      </c>
      <c r="J527" s="20" t="s">
        <v>33</v>
      </c>
      <c r="K527" s="13">
        <v>50</v>
      </c>
      <c r="L527" s="21" t="s">
        <v>38</v>
      </c>
      <c r="M527" s="21" t="s">
        <v>39</v>
      </c>
      <c r="N527" s="16" t="s">
        <v>42</v>
      </c>
      <c r="O527" t="str">
        <f>IF(TRIM(J527)="","NULL",IFERROR(VLOOKUP(TRIM(J527),Lookup_PropertyType!$A:$B,2,FALSE()),"other"))</f>
        <v>apartment</v>
      </c>
      <c r="P527">
        <f t="shared" si="8"/>
        <v>0</v>
      </c>
    </row>
    <row r="528" spans="1:16" ht="15.75" customHeight="1" x14ac:dyDescent="0.35">
      <c r="A528" s="13">
        <v>527</v>
      </c>
      <c r="B528" s="14">
        <v>45852</v>
      </c>
      <c r="C528" s="15"/>
      <c r="D528" s="16" t="s">
        <v>32</v>
      </c>
      <c r="E528" s="17">
        <v>10000</v>
      </c>
      <c r="F528" s="13">
        <v>180</v>
      </c>
      <c r="G528" s="13">
        <v>918</v>
      </c>
      <c r="H528" s="19">
        <v>900000</v>
      </c>
      <c r="I528" s="19">
        <v>150000</v>
      </c>
      <c r="J528" s="20" t="s">
        <v>33</v>
      </c>
      <c r="K528" s="13">
        <v>62</v>
      </c>
      <c r="L528" s="21" t="s">
        <v>38</v>
      </c>
      <c r="M528" s="21" t="s">
        <v>35</v>
      </c>
      <c r="N528" s="16" t="s">
        <v>40</v>
      </c>
      <c r="O528" t="str">
        <f>IF(TRIM(J528)="","NULL",IFERROR(VLOOKUP(TRIM(J528),Lookup_PropertyType!$A:$B,2,FALSE()),"other"))</f>
        <v>apartment</v>
      </c>
      <c r="P528">
        <f t="shared" si="8"/>
        <v>0</v>
      </c>
    </row>
    <row r="529" spans="1:16" ht="15.75" customHeight="1" x14ac:dyDescent="0.35">
      <c r="A529" s="13">
        <v>528</v>
      </c>
      <c r="B529" s="14">
        <v>45836</v>
      </c>
      <c r="C529" s="14">
        <v>45899</v>
      </c>
      <c r="D529" s="16" t="s">
        <v>46</v>
      </c>
      <c r="E529" s="17">
        <v>16000</v>
      </c>
      <c r="F529" s="13">
        <v>180</v>
      </c>
      <c r="G529" s="13">
        <v>550</v>
      </c>
      <c r="H529" s="19">
        <v>600000</v>
      </c>
      <c r="I529" s="19">
        <v>250000</v>
      </c>
      <c r="J529" s="20" t="s">
        <v>33</v>
      </c>
      <c r="K529" s="13">
        <v>61</v>
      </c>
      <c r="L529" s="21" t="s">
        <v>41</v>
      </c>
      <c r="M529" s="21" t="s">
        <v>39</v>
      </c>
      <c r="N529" s="16" t="s">
        <v>43</v>
      </c>
      <c r="O529" t="str">
        <f>IF(TRIM(J529)="","NULL",IFERROR(VLOOKUP(TRIM(J529),Lookup_PropertyType!$A:$B,2,FALSE()),"other"))</f>
        <v>apartment</v>
      </c>
      <c r="P529">
        <f t="shared" si="8"/>
        <v>1</v>
      </c>
    </row>
    <row r="530" spans="1:16" ht="15.75" customHeight="1" x14ac:dyDescent="0.35">
      <c r="A530" s="13">
        <v>529</v>
      </c>
      <c r="B530" s="14">
        <v>45877</v>
      </c>
      <c r="C530" s="14">
        <v>45921</v>
      </c>
      <c r="D530" s="16" t="s">
        <v>32</v>
      </c>
      <c r="E530" s="17">
        <v>12900</v>
      </c>
      <c r="F530" s="13">
        <v>180</v>
      </c>
      <c r="G530" s="13">
        <v>145</v>
      </c>
      <c r="H530" s="19">
        <v>300000</v>
      </c>
      <c r="I530" s="19">
        <v>50000</v>
      </c>
      <c r="J530" s="20" t="s">
        <v>33</v>
      </c>
      <c r="K530" s="13">
        <v>48</v>
      </c>
      <c r="L530" s="21" t="s">
        <v>38</v>
      </c>
      <c r="M530" s="21" t="s">
        <v>72</v>
      </c>
      <c r="N530" s="16" t="s">
        <v>42</v>
      </c>
      <c r="O530" t="str">
        <f>IF(TRIM(J530)="","NULL",IFERROR(VLOOKUP(TRIM(J530),Lookup_PropertyType!$A:$B,2,FALSE()),"other"))</f>
        <v>apartment</v>
      </c>
      <c r="P530">
        <f t="shared" si="8"/>
        <v>1</v>
      </c>
    </row>
    <row r="531" spans="1:16" ht="15.75" customHeight="1" x14ac:dyDescent="0.35">
      <c r="A531" s="13">
        <v>530</v>
      </c>
      <c r="B531" s="14">
        <v>45834</v>
      </c>
      <c r="C531" s="14">
        <v>45892</v>
      </c>
      <c r="D531" s="16" t="s">
        <v>58</v>
      </c>
      <c r="E531" s="17">
        <v>55000</v>
      </c>
      <c r="F531" s="13">
        <v>90</v>
      </c>
      <c r="G531" s="13">
        <v>903</v>
      </c>
      <c r="H531" s="19">
        <v>1800000</v>
      </c>
      <c r="I531" s="19">
        <v>210000</v>
      </c>
      <c r="J531" s="20" t="s">
        <v>33</v>
      </c>
      <c r="K531" s="13">
        <v>41</v>
      </c>
      <c r="L531" s="21" t="s">
        <v>64</v>
      </c>
      <c r="M531" s="21" t="s">
        <v>39</v>
      </c>
      <c r="N531" s="16" t="s">
        <v>42</v>
      </c>
      <c r="O531" t="str">
        <f>IF(TRIM(J531)="","NULL",IFERROR(VLOOKUP(TRIM(J531),Lookup_PropertyType!$A:$B,2,FALSE()),"other"))</f>
        <v>apartment</v>
      </c>
      <c r="P531">
        <f t="shared" si="8"/>
        <v>1</v>
      </c>
    </row>
    <row r="532" spans="1:16" ht="15.75" customHeight="1" x14ac:dyDescent="0.35">
      <c r="A532" s="13">
        <v>531</v>
      </c>
      <c r="B532" s="14">
        <v>45866</v>
      </c>
      <c r="C532" s="15"/>
      <c r="D532" s="16" t="s">
        <v>58</v>
      </c>
      <c r="E532" s="17">
        <v>5900</v>
      </c>
      <c r="F532" s="13">
        <v>90</v>
      </c>
      <c r="G532" s="13">
        <v>536</v>
      </c>
      <c r="H532" s="19">
        <v>550000</v>
      </c>
      <c r="I532" s="19">
        <v>100000</v>
      </c>
      <c r="J532" s="20" t="s">
        <v>33</v>
      </c>
      <c r="K532" s="13">
        <v>37</v>
      </c>
      <c r="L532" s="21" t="s">
        <v>41</v>
      </c>
      <c r="M532" s="21" t="s">
        <v>39</v>
      </c>
      <c r="N532" s="16" t="s">
        <v>36</v>
      </c>
      <c r="O532" t="str">
        <f>IF(TRIM(J532)="","NULL",IFERROR(VLOOKUP(TRIM(J532),Lookup_PropertyType!$A:$B,2,FALSE()),"other"))</f>
        <v>apartment</v>
      </c>
      <c r="P532">
        <f t="shared" si="8"/>
        <v>0</v>
      </c>
    </row>
    <row r="533" spans="1:16" ht="15.75" customHeight="1" x14ac:dyDescent="0.35">
      <c r="A533" s="13">
        <v>532</v>
      </c>
      <c r="B533" s="14">
        <v>45934</v>
      </c>
      <c r="C533" s="15"/>
      <c r="D533" s="16" t="s">
        <v>32</v>
      </c>
      <c r="E533" s="17">
        <v>7000</v>
      </c>
      <c r="F533" s="13">
        <v>180</v>
      </c>
      <c r="G533" s="13">
        <v>254</v>
      </c>
      <c r="H533" s="19">
        <v>170000</v>
      </c>
      <c r="I533" s="19">
        <v>50000</v>
      </c>
      <c r="J533" s="20" t="s">
        <v>37</v>
      </c>
      <c r="K533" s="13">
        <v>31</v>
      </c>
      <c r="L533" s="21" t="s">
        <v>38</v>
      </c>
      <c r="M533" s="21" t="s">
        <v>54</v>
      </c>
      <c r="N533" s="16" t="s">
        <v>42</v>
      </c>
      <c r="O533" t="str">
        <f>IF(TRIM(J533)="","NULL",IFERROR(VLOOKUP(TRIM(J533),Lookup_PropertyType!$A:$B,2,FALSE()),"other"))</f>
        <v>house</v>
      </c>
      <c r="P533">
        <f t="shared" si="8"/>
        <v>0</v>
      </c>
    </row>
    <row r="534" spans="1:16" ht="15.75" customHeight="1" x14ac:dyDescent="0.35">
      <c r="A534" s="13">
        <v>533</v>
      </c>
      <c r="B534" s="14">
        <v>45857</v>
      </c>
      <c r="C534" s="15"/>
      <c r="D534" s="16" t="s">
        <v>32</v>
      </c>
      <c r="E534" s="17">
        <v>30000</v>
      </c>
      <c r="F534" s="13">
        <v>120</v>
      </c>
      <c r="G534" s="13">
        <v>740</v>
      </c>
      <c r="H534" s="19">
        <v>1500000</v>
      </c>
      <c r="I534" s="19">
        <v>150000</v>
      </c>
      <c r="J534" s="20" t="s">
        <v>37</v>
      </c>
      <c r="K534" s="13">
        <v>57</v>
      </c>
      <c r="L534" s="21" t="s">
        <v>41</v>
      </c>
      <c r="M534" s="21" t="s">
        <v>39</v>
      </c>
      <c r="N534" s="16" t="s">
        <v>36</v>
      </c>
      <c r="O534" t="str">
        <f>IF(TRIM(J534)="","NULL",IFERROR(VLOOKUP(TRIM(J534),Lookup_PropertyType!$A:$B,2,FALSE()),"other"))</f>
        <v>house</v>
      </c>
      <c r="P534">
        <f t="shared" si="8"/>
        <v>0</v>
      </c>
    </row>
    <row r="535" spans="1:16" ht="15.75" customHeight="1" x14ac:dyDescent="0.35">
      <c r="A535" s="13">
        <v>534</v>
      </c>
      <c r="B535" s="14">
        <v>45858</v>
      </c>
      <c r="C535" s="14">
        <v>45928</v>
      </c>
      <c r="D535" s="16" t="s">
        <v>61</v>
      </c>
      <c r="E535" s="17">
        <v>15000</v>
      </c>
      <c r="F535" s="13">
        <v>180</v>
      </c>
      <c r="G535" s="13">
        <v>428</v>
      </c>
      <c r="H535" s="19">
        <v>220000</v>
      </c>
      <c r="I535" s="19">
        <v>120000</v>
      </c>
      <c r="J535" s="20" t="s">
        <v>33</v>
      </c>
      <c r="K535" s="13">
        <v>56</v>
      </c>
      <c r="L535" s="21" t="s">
        <v>41</v>
      </c>
      <c r="M535" s="21" t="s">
        <v>39</v>
      </c>
      <c r="N535" s="16" t="s">
        <v>36</v>
      </c>
      <c r="O535" t="str">
        <f>IF(TRIM(J535)="","NULL",IFERROR(VLOOKUP(TRIM(J535),Lookup_PropertyType!$A:$B,2,FALSE()),"other"))</f>
        <v>apartment</v>
      </c>
      <c r="P535">
        <f t="shared" si="8"/>
        <v>1</v>
      </c>
    </row>
    <row r="536" spans="1:16" ht="15.75" customHeight="1" x14ac:dyDescent="0.35">
      <c r="A536" s="13">
        <v>535</v>
      </c>
      <c r="B536" s="14">
        <v>45838</v>
      </c>
      <c r="C536" s="15"/>
      <c r="D536" s="16" t="s">
        <v>44</v>
      </c>
      <c r="E536" s="17">
        <v>11000</v>
      </c>
      <c r="F536" s="13">
        <v>60</v>
      </c>
      <c r="G536" s="13">
        <v>364</v>
      </c>
      <c r="H536" s="19">
        <v>300000</v>
      </c>
      <c r="I536" s="19">
        <v>150000</v>
      </c>
      <c r="J536" s="20" t="s">
        <v>33</v>
      </c>
      <c r="K536" s="13">
        <v>55</v>
      </c>
      <c r="L536" s="21" t="s">
        <v>59</v>
      </c>
      <c r="M536" s="21" t="s">
        <v>39</v>
      </c>
      <c r="N536" s="16" t="s">
        <v>42</v>
      </c>
      <c r="O536" t="str">
        <f>IF(TRIM(J536)="","NULL",IFERROR(VLOOKUP(TRIM(J536),Lookup_PropertyType!$A:$B,2,FALSE()),"other"))</f>
        <v>apartment</v>
      </c>
      <c r="P536">
        <f t="shared" si="8"/>
        <v>0</v>
      </c>
    </row>
    <row r="537" spans="1:16" ht="15.75" customHeight="1" x14ac:dyDescent="0.35">
      <c r="A537" s="13">
        <v>536</v>
      </c>
      <c r="B537" s="14">
        <v>45838</v>
      </c>
      <c r="C537" s="15"/>
      <c r="D537" s="16" t="s">
        <v>32</v>
      </c>
      <c r="E537" s="17">
        <v>6000</v>
      </c>
      <c r="F537" s="13">
        <v>60</v>
      </c>
      <c r="G537" s="13">
        <v>953</v>
      </c>
      <c r="H537" s="19">
        <v>250000</v>
      </c>
      <c r="I537" s="19">
        <v>73000</v>
      </c>
      <c r="J537" s="20" t="s">
        <v>37</v>
      </c>
      <c r="K537" s="13">
        <v>64</v>
      </c>
      <c r="L537" s="21" t="s">
        <v>45</v>
      </c>
      <c r="M537" s="21" t="s">
        <v>39</v>
      </c>
      <c r="N537" s="16" t="s">
        <v>43</v>
      </c>
      <c r="O537" t="str">
        <f>IF(TRIM(J537)="","NULL",IFERROR(VLOOKUP(TRIM(J537),Lookup_PropertyType!$A:$B,2,FALSE()),"other"))</f>
        <v>house</v>
      </c>
      <c r="P537">
        <f t="shared" si="8"/>
        <v>0</v>
      </c>
    </row>
    <row r="538" spans="1:16" ht="15.75" customHeight="1" x14ac:dyDescent="0.35">
      <c r="A538" s="13">
        <v>537</v>
      </c>
      <c r="B538" s="14">
        <v>45838</v>
      </c>
      <c r="C538" s="15"/>
      <c r="D538" s="16" t="s">
        <v>32</v>
      </c>
      <c r="E538" s="17">
        <v>50000</v>
      </c>
      <c r="F538" s="13">
        <v>180</v>
      </c>
      <c r="G538" s="13">
        <v>950</v>
      </c>
      <c r="H538" s="19">
        <v>800000</v>
      </c>
      <c r="I538" s="19">
        <v>75000</v>
      </c>
      <c r="J538" s="20" t="s">
        <v>33</v>
      </c>
      <c r="K538" s="13">
        <v>38</v>
      </c>
      <c r="L538" s="21" t="s">
        <v>38</v>
      </c>
      <c r="M538" s="21" t="s">
        <v>39</v>
      </c>
      <c r="N538" s="16" t="s">
        <v>51</v>
      </c>
      <c r="O538" t="str">
        <f>IF(TRIM(J538)="","NULL",IFERROR(VLOOKUP(TRIM(J538),Lookup_PropertyType!$A:$B,2,FALSE()),"other"))</f>
        <v>apartment</v>
      </c>
      <c r="P538">
        <f t="shared" si="8"/>
        <v>0</v>
      </c>
    </row>
    <row r="539" spans="1:16" ht="15.75" customHeight="1" x14ac:dyDescent="0.35">
      <c r="A539" s="13">
        <v>538</v>
      </c>
      <c r="B539" s="14">
        <v>45838</v>
      </c>
      <c r="C539" s="15"/>
      <c r="D539" s="16" t="s">
        <v>32</v>
      </c>
      <c r="E539" s="17">
        <v>7644.26</v>
      </c>
      <c r="F539" s="13">
        <v>120</v>
      </c>
      <c r="G539" s="13">
        <v>975</v>
      </c>
      <c r="H539" s="19">
        <v>427000</v>
      </c>
      <c r="I539" s="19">
        <v>90000</v>
      </c>
      <c r="J539" s="20" t="s">
        <v>37</v>
      </c>
      <c r="K539" s="13">
        <v>49</v>
      </c>
      <c r="L539" s="21" t="s">
        <v>38</v>
      </c>
      <c r="M539" s="21" t="s">
        <v>39</v>
      </c>
      <c r="N539" s="16" t="s">
        <v>42</v>
      </c>
      <c r="O539" t="str">
        <f>IF(TRIM(J539)="","NULL",IFERROR(VLOOKUP(TRIM(J539),Lookup_PropertyType!$A:$B,2,FALSE()),"other"))</f>
        <v>house</v>
      </c>
      <c r="P539">
        <f t="shared" si="8"/>
        <v>0</v>
      </c>
    </row>
    <row r="540" spans="1:16" ht="15.75" customHeight="1" x14ac:dyDescent="0.35">
      <c r="A540" s="13">
        <v>539</v>
      </c>
      <c r="B540" s="14">
        <v>45838</v>
      </c>
      <c r="C540" s="15"/>
      <c r="D540" s="16" t="s">
        <v>58</v>
      </c>
      <c r="E540" s="17">
        <v>12000</v>
      </c>
      <c r="F540" s="13">
        <v>180</v>
      </c>
      <c r="G540" s="13">
        <v>824</v>
      </c>
      <c r="H540" s="19">
        <v>600000</v>
      </c>
      <c r="I540" s="19">
        <v>120000</v>
      </c>
      <c r="J540" s="20" t="s">
        <v>37</v>
      </c>
      <c r="K540" s="13">
        <v>46</v>
      </c>
      <c r="L540" s="21" t="s">
        <v>64</v>
      </c>
      <c r="M540" s="21" t="s">
        <v>39</v>
      </c>
      <c r="N540" s="16" t="s">
        <v>42</v>
      </c>
      <c r="O540" t="str">
        <f>IF(TRIM(J540)="","NULL",IFERROR(VLOOKUP(TRIM(J540),Lookup_PropertyType!$A:$B,2,FALSE()),"other"))</f>
        <v>house</v>
      </c>
      <c r="P540">
        <f t="shared" si="8"/>
        <v>0</v>
      </c>
    </row>
    <row r="541" spans="1:16" ht="15.75" customHeight="1" x14ac:dyDescent="0.35">
      <c r="A541" s="13">
        <v>540</v>
      </c>
      <c r="B541" s="14">
        <v>45848</v>
      </c>
      <c r="C541" s="15"/>
      <c r="D541" s="16" t="s">
        <v>32</v>
      </c>
      <c r="E541" s="17">
        <v>15000</v>
      </c>
      <c r="F541" s="13">
        <v>180</v>
      </c>
      <c r="G541" s="13">
        <v>743</v>
      </c>
      <c r="H541" s="19">
        <v>400000</v>
      </c>
      <c r="I541" s="19">
        <v>80000</v>
      </c>
      <c r="J541" s="20" t="s">
        <v>37</v>
      </c>
      <c r="K541" s="13">
        <v>39</v>
      </c>
      <c r="L541" s="21" t="s">
        <v>41</v>
      </c>
      <c r="M541" s="21" t="s">
        <v>39</v>
      </c>
      <c r="N541" s="16" t="s">
        <v>36</v>
      </c>
      <c r="O541" t="str">
        <f>IF(TRIM(J541)="","NULL",IFERROR(VLOOKUP(TRIM(J541),Lookup_PropertyType!$A:$B,2,FALSE()),"other"))</f>
        <v>house</v>
      </c>
      <c r="P541">
        <f t="shared" si="8"/>
        <v>0</v>
      </c>
    </row>
    <row r="542" spans="1:16" ht="15.75" customHeight="1" x14ac:dyDescent="0.35">
      <c r="A542" s="13">
        <v>541</v>
      </c>
      <c r="B542" s="14">
        <v>45838</v>
      </c>
      <c r="C542" s="15"/>
      <c r="D542" s="16" t="s">
        <v>32</v>
      </c>
      <c r="E542" s="17">
        <v>9000</v>
      </c>
      <c r="F542" s="13">
        <v>180</v>
      </c>
      <c r="G542" s="13">
        <v>253</v>
      </c>
      <c r="H542" s="19">
        <v>280000</v>
      </c>
      <c r="I542" s="19">
        <v>105000</v>
      </c>
      <c r="J542" s="20" t="s">
        <v>33</v>
      </c>
      <c r="K542" s="13">
        <v>40</v>
      </c>
      <c r="L542" s="21" t="s">
        <v>38</v>
      </c>
      <c r="M542" s="21" t="s">
        <v>54</v>
      </c>
      <c r="N542" s="16" t="s">
        <v>42</v>
      </c>
      <c r="O542" t="str">
        <f>IF(TRIM(J542)="","NULL",IFERROR(VLOOKUP(TRIM(J542),Lookup_PropertyType!$A:$B,2,FALSE()),"other"))</f>
        <v>apartment</v>
      </c>
      <c r="P542">
        <f t="shared" si="8"/>
        <v>0</v>
      </c>
    </row>
    <row r="543" spans="1:16" ht="15.75" customHeight="1" x14ac:dyDescent="0.35">
      <c r="A543" s="13">
        <v>542</v>
      </c>
      <c r="B543" s="14">
        <v>45865</v>
      </c>
      <c r="C543" s="15"/>
      <c r="D543" s="16" t="s">
        <v>61</v>
      </c>
      <c r="E543" s="17">
        <v>10000</v>
      </c>
      <c r="F543" s="13">
        <v>180</v>
      </c>
      <c r="G543" s="13">
        <v>253</v>
      </c>
      <c r="H543" s="19">
        <v>500000</v>
      </c>
      <c r="I543" s="19">
        <v>150000</v>
      </c>
      <c r="J543" s="20" t="s">
        <v>37</v>
      </c>
      <c r="K543" s="13">
        <v>50</v>
      </c>
      <c r="L543" s="21" t="s">
        <v>45</v>
      </c>
      <c r="M543" s="21" t="s">
        <v>39</v>
      </c>
      <c r="N543" s="16" t="s">
        <v>36</v>
      </c>
      <c r="O543" t="str">
        <f>IF(TRIM(J543)="","NULL",IFERROR(VLOOKUP(TRIM(J543),Lookup_PropertyType!$A:$B,2,FALSE()),"other"))</f>
        <v>house</v>
      </c>
      <c r="P543">
        <f t="shared" si="8"/>
        <v>0</v>
      </c>
    </row>
    <row r="544" spans="1:16" ht="15.75" customHeight="1" x14ac:dyDescent="0.35">
      <c r="A544" s="13">
        <v>543</v>
      </c>
      <c r="B544" s="14">
        <v>45838</v>
      </c>
      <c r="C544" s="15"/>
      <c r="D544" s="16" t="s">
        <v>52</v>
      </c>
      <c r="E544" s="17">
        <v>11592.73</v>
      </c>
      <c r="F544" s="13">
        <v>180</v>
      </c>
      <c r="G544" s="13">
        <v>998</v>
      </c>
      <c r="H544" s="19">
        <v>350000</v>
      </c>
      <c r="I544" s="19">
        <v>100000</v>
      </c>
      <c r="J544" s="20" t="s">
        <v>37</v>
      </c>
      <c r="K544" s="13">
        <v>68</v>
      </c>
      <c r="L544" s="21" t="s">
        <v>34</v>
      </c>
      <c r="M544" s="21" t="s">
        <v>39</v>
      </c>
      <c r="N544" s="16" t="s">
        <v>50</v>
      </c>
      <c r="O544" t="str">
        <f>IF(TRIM(J544)="","NULL",IFERROR(VLOOKUP(TRIM(J544),Lookup_PropertyType!$A:$B,2,FALSE()),"other"))</f>
        <v>house</v>
      </c>
      <c r="P544">
        <f t="shared" si="8"/>
        <v>0</v>
      </c>
    </row>
    <row r="545" spans="1:16" ht="15.75" customHeight="1" x14ac:dyDescent="0.35">
      <c r="A545" s="13">
        <v>544</v>
      </c>
      <c r="B545" s="14">
        <v>45871</v>
      </c>
      <c r="C545" s="14">
        <v>45919</v>
      </c>
      <c r="D545" s="16" t="s">
        <v>32</v>
      </c>
      <c r="E545" s="17">
        <v>8000</v>
      </c>
      <c r="F545" s="13">
        <v>90</v>
      </c>
      <c r="G545" s="13">
        <v>12</v>
      </c>
      <c r="H545" s="19">
        <v>320000</v>
      </c>
      <c r="I545" s="19">
        <v>100000</v>
      </c>
      <c r="J545" s="20" t="s">
        <v>33</v>
      </c>
      <c r="K545" s="13">
        <v>52</v>
      </c>
      <c r="L545" s="21" t="s">
        <v>38</v>
      </c>
      <c r="M545" s="21" t="s">
        <v>54</v>
      </c>
      <c r="N545" s="16" t="s">
        <v>42</v>
      </c>
      <c r="O545" t="str">
        <f>IF(TRIM(J545)="","NULL",IFERROR(VLOOKUP(TRIM(J545),Lookup_PropertyType!$A:$B,2,FALSE()),"other"))</f>
        <v>apartment</v>
      </c>
      <c r="P545">
        <f t="shared" si="8"/>
        <v>1</v>
      </c>
    </row>
    <row r="546" spans="1:16" ht="15.75" customHeight="1" x14ac:dyDescent="0.35">
      <c r="A546" s="13">
        <v>545</v>
      </c>
      <c r="B546" s="14">
        <v>45842</v>
      </c>
      <c r="C546" s="14">
        <v>46017</v>
      </c>
      <c r="D546" s="16" t="s">
        <v>55</v>
      </c>
      <c r="E546" s="17">
        <v>10000</v>
      </c>
      <c r="F546" s="13">
        <v>180</v>
      </c>
      <c r="G546" s="13">
        <v>552</v>
      </c>
      <c r="H546" s="19">
        <v>350000</v>
      </c>
      <c r="I546" s="19">
        <v>50000</v>
      </c>
      <c r="J546" s="20" t="s">
        <v>37</v>
      </c>
      <c r="K546" s="13">
        <v>55</v>
      </c>
      <c r="L546" s="21" t="s">
        <v>38</v>
      </c>
      <c r="M546" s="21" t="s">
        <v>39</v>
      </c>
      <c r="N546" s="16" t="s">
        <v>50</v>
      </c>
      <c r="O546" t="str">
        <f>IF(TRIM(J546)="","NULL",IFERROR(VLOOKUP(TRIM(J546),Lookup_PropertyType!$A:$B,2,FALSE()),"other"))</f>
        <v>house</v>
      </c>
      <c r="P546">
        <f t="shared" si="8"/>
        <v>1</v>
      </c>
    </row>
    <row r="547" spans="1:16" ht="15.75" customHeight="1" x14ac:dyDescent="0.35">
      <c r="A547" s="13">
        <v>546</v>
      </c>
      <c r="B547" s="14">
        <v>45851</v>
      </c>
      <c r="C547" s="15"/>
      <c r="D547" s="16" t="s">
        <v>66</v>
      </c>
      <c r="E547" s="17">
        <v>6024</v>
      </c>
      <c r="F547" s="13">
        <v>180</v>
      </c>
      <c r="G547" s="13">
        <v>412</v>
      </c>
      <c r="H547" s="19">
        <v>300000</v>
      </c>
      <c r="I547" s="19">
        <v>125000</v>
      </c>
      <c r="J547" s="20" t="s">
        <v>37</v>
      </c>
      <c r="K547" s="13">
        <v>39</v>
      </c>
      <c r="L547" s="21" t="s">
        <v>41</v>
      </c>
      <c r="M547" s="21" t="s">
        <v>35</v>
      </c>
      <c r="N547" s="16" t="s">
        <v>42</v>
      </c>
      <c r="O547" t="str">
        <f>IF(TRIM(J547)="","NULL",IFERROR(VLOOKUP(TRIM(J547),Lookup_PropertyType!$A:$B,2,FALSE()),"other"))</f>
        <v>house</v>
      </c>
      <c r="P547">
        <f t="shared" si="8"/>
        <v>0</v>
      </c>
    </row>
    <row r="548" spans="1:16" ht="15.75" customHeight="1" x14ac:dyDescent="0.35">
      <c r="A548" s="13">
        <v>547</v>
      </c>
      <c r="B548" s="14">
        <v>45850</v>
      </c>
      <c r="C548" s="15"/>
      <c r="D548" s="16" t="s">
        <v>32</v>
      </c>
      <c r="E548" s="17">
        <v>8000</v>
      </c>
      <c r="F548" s="13">
        <v>180</v>
      </c>
      <c r="G548" s="13">
        <v>678</v>
      </c>
      <c r="H548" s="19">
        <v>280000</v>
      </c>
      <c r="I548" s="19">
        <v>80000</v>
      </c>
      <c r="J548" s="20" t="s">
        <v>33</v>
      </c>
      <c r="K548" s="13">
        <v>46</v>
      </c>
      <c r="L548" s="21" t="s">
        <v>59</v>
      </c>
      <c r="M548" s="21" t="s">
        <v>39</v>
      </c>
      <c r="N548" s="16" t="s">
        <v>36</v>
      </c>
      <c r="O548" t="str">
        <f>IF(TRIM(J548)="","NULL",IFERROR(VLOOKUP(TRIM(J548),Lookup_PropertyType!$A:$B,2,FALSE()),"other"))</f>
        <v>apartment</v>
      </c>
      <c r="P548">
        <f t="shared" si="8"/>
        <v>0</v>
      </c>
    </row>
    <row r="549" spans="1:16" ht="15.75" customHeight="1" x14ac:dyDescent="0.35">
      <c r="A549" s="13">
        <v>548</v>
      </c>
      <c r="B549" s="14">
        <v>45852</v>
      </c>
      <c r="C549" s="15"/>
      <c r="D549" s="16"/>
      <c r="E549" s="17">
        <v>5000</v>
      </c>
      <c r="F549" s="13">
        <v>180</v>
      </c>
      <c r="G549" s="13">
        <v>550</v>
      </c>
      <c r="H549" s="19">
        <v>300000</v>
      </c>
      <c r="I549" s="19">
        <v>30000</v>
      </c>
      <c r="J549" s="20" t="s">
        <v>33</v>
      </c>
      <c r="K549" s="13">
        <v>52</v>
      </c>
      <c r="L549" s="21" t="s">
        <v>59</v>
      </c>
      <c r="M549" s="21" t="s">
        <v>39</v>
      </c>
      <c r="N549" s="16" t="s">
        <v>36</v>
      </c>
      <c r="O549" t="str">
        <f>IF(TRIM(J549)="","NULL",IFERROR(VLOOKUP(TRIM(J549),Lookup_PropertyType!$A:$B,2,FALSE()),"other"))</f>
        <v>apartment</v>
      </c>
      <c r="P549">
        <f t="shared" si="8"/>
        <v>0</v>
      </c>
    </row>
    <row r="550" spans="1:16" ht="15.75" customHeight="1" x14ac:dyDescent="0.35">
      <c r="A550" s="13">
        <v>549</v>
      </c>
      <c r="B550" s="14">
        <v>45843</v>
      </c>
      <c r="C550" s="14">
        <v>45884</v>
      </c>
      <c r="D550" s="16"/>
      <c r="E550" s="17">
        <v>5700</v>
      </c>
      <c r="F550" s="13">
        <v>180</v>
      </c>
      <c r="G550" s="13">
        <v>216</v>
      </c>
      <c r="H550" s="19">
        <v>240000</v>
      </c>
      <c r="I550" s="19">
        <v>100000</v>
      </c>
      <c r="J550" s="20" t="s">
        <v>37</v>
      </c>
      <c r="K550" s="13">
        <v>48</v>
      </c>
      <c r="L550" s="21" t="s">
        <v>38</v>
      </c>
      <c r="M550" s="21" t="s">
        <v>35</v>
      </c>
      <c r="N550" s="16" t="s">
        <v>42</v>
      </c>
      <c r="O550" t="str">
        <f>IF(TRIM(J550)="","NULL",IFERROR(VLOOKUP(TRIM(J550),Lookup_PropertyType!$A:$B,2,FALSE()),"other"))</f>
        <v>house</v>
      </c>
      <c r="P550">
        <f t="shared" si="8"/>
        <v>1</v>
      </c>
    </row>
    <row r="551" spans="1:16" ht="15.75" customHeight="1" x14ac:dyDescent="0.35">
      <c r="A551" s="13">
        <v>550</v>
      </c>
      <c r="B551" s="14">
        <v>45849</v>
      </c>
      <c r="C551" s="15"/>
      <c r="D551" s="16" t="s">
        <v>32</v>
      </c>
      <c r="E551" s="17">
        <v>6500</v>
      </c>
      <c r="F551" s="13">
        <v>180</v>
      </c>
      <c r="G551" s="13">
        <v>207</v>
      </c>
      <c r="H551" s="19">
        <v>235000</v>
      </c>
      <c r="I551" s="19">
        <v>30000</v>
      </c>
      <c r="J551" s="20" t="s">
        <v>37</v>
      </c>
      <c r="K551" s="13">
        <v>48</v>
      </c>
      <c r="L551" s="21" t="s">
        <v>41</v>
      </c>
      <c r="M551" s="21" t="s">
        <v>39</v>
      </c>
      <c r="N551" s="16" t="s">
        <v>42</v>
      </c>
      <c r="O551" t="str">
        <f>IF(TRIM(J551)="","NULL",IFERROR(VLOOKUP(TRIM(J551),Lookup_PropertyType!$A:$B,2,FALSE()),"other"))</f>
        <v>house</v>
      </c>
      <c r="P551">
        <f t="shared" si="8"/>
        <v>0</v>
      </c>
    </row>
    <row r="552" spans="1:16" ht="15.75" customHeight="1" x14ac:dyDescent="0.35">
      <c r="A552" s="13">
        <v>551</v>
      </c>
      <c r="B552" s="14">
        <v>45851</v>
      </c>
      <c r="C552" s="14">
        <v>45914</v>
      </c>
      <c r="D552" s="16" t="s">
        <v>32</v>
      </c>
      <c r="E552" s="17">
        <v>10000</v>
      </c>
      <c r="F552" s="13">
        <v>180</v>
      </c>
      <c r="G552" s="13">
        <v>989</v>
      </c>
      <c r="H552" s="19">
        <v>355000</v>
      </c>
      <c r="I552" s="19">
        <v>140000</v>
      </c>
      <c r="J552" s="20" t="s">
        <v>33</v>
      </c>
      <c r="K552" s="13">
        <v>67</v>
      </c>
      <c r="L552" s="21" t="s">
        <v>38</v>
      </c>
      <c r="M552" s="21" t="s">
        <v>39</v>
      </c>
      <c r="N552" s="16" t="s">
        <v>43</v>
      </c>
      <c r="O552" t="str">
        <f>IF(TRIM(J552)="","NULL",IFERROR(VLOOKUP(TRIM(J552),Lookup_PropertyType!$A:$B,2,FALSE()),"other"))</f>
        <v>apartment</v>
      </c>
      <c r="P552">
        <f t="shared" si="8"/>
        <v>1</v>
      </c>
    </row>
    <row r="553" spans="1:16" ht="15.75" customHeight="1" x14ac:dyDescent="0.35">
      <c r="A553" s="13">
        <v>552</v>
      </c>
      <c r="B553" s="14">
        <v>45843</v>
      </c>
      <c r="C553" s="15"/>
      <c r="D553" s="16" t="s">
        <v>32</v>
      </c>
      <c r="E553" s="17">
        <v>10000</v>
      </c>
      <c r="F553" s="13">
        <v>180</v>
      </c>
      <c r="G553" s="13">
        <v>543</v>
      </c>
      <c r="H553" s="19">
        <v>300000</v>
      </c>
      <c r="I553" s="19">
        <v>100000</v>
      </c>
      <c r="J553" s="20" t="s">
        <v>33</v>
      </c>
      <c r="K553" s="13">
        <v>46</v>
      </c>
      <c r="L553" s="21" t="s">
        <v>38</v>
      </c>
      <c r="M553" s="21" t="s">
        <v>39</v>
      </c>
      <c r="N553" s="16" t="s">
        <v>36</v>
      </c>
      <c r="O553" t="str">
        <f>IF(TRIM(J553)="","NULL",IFERROR(VLOOKUP(TRIM(J553),Lookup_PropertyType!$A:$B,2,FALSE()),"other"))</f>
        <v>apartment</v>
      </c>
      <c r="P553">
        <f t="shared" si="8"/>
        <v>0</v>
      </c>
    </row>
    <row r="554" spans="1:16" ht="15.75" customHeight="1" x14ac:dyDescent="0.35">
      <c r="A554" s="13">
        <v>553</v>
      </c>
      <c r="B554" s="14">
        <v>45850</v>
      </c>
      <c r="C554" s="15"/>
      <c r="D554" s="16" t="s">
        <v>32</v>
      </c>
      <c r="E554" s="17">
        <v>6000</v>
      </c>
      <c r="F554" s="13">
        <v>120</v>
      </c>
      <c r="G554" s="13">
        <v>876</v>
      </c>
      <c r="H554" s="19">
        <v>300000</v>
      </c>
      <c r="I554" s="19">
        <v>90000</v>
      </c>
      <c r="J554" s="20" t="s">
        <v>33</v>
      </c>
      <c r="K554" s="13">
        <v>36</v>
      </c>
      <c r="L554" s="21" t="s">
        <v>41</v>
      </c>
      <c r="M554" s="21" t="s">
        <v>39</v>
      </c>
      <c r="N554" s="16" t="s">
        <v>42</v>
      </c>
      <c r="O554" t="str">
        <f>IF(TRIM(J554)="","NULL",IFERROR(VLOOKUP(TRIM(J554),Lookup_PropertyType!$A:$B,2,FALSE()),"other"))</f>
        <v>apartment</v>
      </c>
      <c r="P554">
        <f t="shared" si="8"/>
        <v>0</v>
      </c>
    </row>
    <row r="555" spans="1:16" ht="15.75" customHeight="1" x14ac:dyDescent="0.35">
      <c r="A555" s="13">
        <v>554</v>
      </c>
      <c r="B555" s="14">
        <v>45855</v>
      </c>
      <c r="C555" s="14">
        <v>45929</v>
      </c>
      <c r="D555" s="16" t="s">
        <v>46</v>
      </c>
      <c r="E555" s="17">
        <v>4500</v>
      </c>
      <c r="F555" s="13">
        <v>120</v>
      </c>
      <c r="G555" s="13">
        <v>478</v>
      </c>
      <c r="H555" s="19">
        <v>300000</v>
      </c>
      <c r="I555" s="19">
        <v>60000</v>
      </c>
      <c r="J555" s="20" t="s">
        <v>33</v>
      </c>
      <c r="K555" s="13">
        <v>43</v>
      </c>
      <c r="L555" s="21" t="s">
        <v>38</v>
      </c>
      <c r="M555" s="21" t="s">
        <v>39</v>
      </c>
      <c r="N555" s="16" t="s">
        <v>51</v>
      </c>
      <c r="O555" t="str">
        <f>IF(TRIM(J555)="","NULL",IFERROR(VLOOKUP(TRIM(J555),Lookup_PropertyType!$A:$B,2,FALSE()),"other"))</f>
        <v>apartment</v>
      </c>
      <c r="P555">
        <f t="shared" si="8"/>
        <v>1</v>
      </c>
    </row>
    <row r="556" spans="1:16" ht="15.75" customHeight="1" x14ac:dyDescent="0.35">
      <c r="A556" s="13">
        <v>555</v>
      </c>
      <c r="B556" s="14">
        <v>45898</v>
      </c>
      <c r="C556" s="14">
        <v>45955</v>
      </c>
      <c r="D556" s="16" t="s">
        <v>32</v>
      </c>
      <c r="E556" s="17">
        <v>13000</v>
      </c>
      <c r="F556" s="13">
        <v>180</v>
      </c>
      <c r="G556" s="13">
        <v>891</v>
      </c>
      <c r="H556" s="19">
        <v>400000</v>
      </c>
      <c r="I556" s="19">
        <v>150000</v>
      </c>
      <c r="J556" s="20" t="s">
        <v>33</v>
      </c>
      <c r="K556" s="13">
        <v>39</v>
      </c>
      <c r="L556" s="21" t="s">
        <v>38</v>
      </c>
      <c r="M556" s="21" t="s">
        <v>54</v>
      </c>
      <c r="N556" s="16" t="s">
        <v>42</v>
      </c>
      <c r="O556" t="str">
        <f>IF(TRIM(J556)="","NULL",IFERROR(VLOOKUP(TRIM(J556),Lookup_PropertyType!$A:$B,2,FALSE()),"other"))</f>
        <v>apartment</v>
      </c>
      <c r="P556">
        <f t="shared" si="8"/>
        <v>1</v>
      </c>
    </row>
    <row r="557" spans="1:16" ht="15.75" customHeight="1" x14ac:dyDescent="0.35">
      <c r="A557" s="13">
        <v>556</v>
      </c>
      <c r="B557" s="14">
        <v>45865</v>
      </c>
      <c r="C557" s="15"/>
      <c r="D557" s="16" t="s">
        <v>32</v>
      </c>
      <c r="E557" s="17">
        <v>15000</v>
      </c>
      <c r="F557" s="13">
        <v>180</v>
      </c>
      <c r="G557" s="13">
        <v>681</v>
      </c>
      <c r="H557" s="19">
        <v>800000</v>
      </c>
      <c r="I557" s="19">
        <v>200000</v>
      </c>
      <c r="J557" s="20" t="s">
        <v>33</v>
      </c>
      <c r="K557" s="13">
        <v>65</v>
      </c>
      <c r="L557" s="21" t="s">
        <v>38</v>
      </c>
      <c r="M557" s="21" t="s">
        <v>35</v>
      </c>
      <c r="N557" s="16" t="s">
        <v>43</v>
      </c>
      <c r="O557" t="str">
        <f>IF(TRIM(J557)="","NULL",IFERROR(VLOOKUP(TRIM(J557),Lookup_PropertyType!$A:$B,2,FALSE()),"other"))</f>
        <v>apartment</v>
      </c>
      <c r="P557">
        <f t="shared" si="8"/>
        <v>0</v>
      </c>
    </row>
    <row r="558" spans="1:16" ht="15.75" customHeight="1" x14ac:dyDescent="0.35">
      <c r="A558" s="13">
        <v>557</v>
      </c>
      <c r="B558" s="14">
        <v>45852</v>
      </c>
      <c r="C558" s="15"/>
      <c r="D558" s="16" t="s">
        <v>32</v>
      </c>
      <c r="E558" s="17">
        <v>29000</v>
      </c>
      <c r="F558" s="13">
        <v>180</v>
      </c>
      <c r="G558" s="13">
        <v>684</v>
      </c>
      <c r="H558" s="19">
        <v>400000</v>
      </c>
      <c r="I558" s="19">
        <v>50000</v>
      </c>
      <c r="J558" s="20" t="s">
        <v>33</v>
      </c>
      <c r="K558" s="13">
        <v>37</v>
      </c>
      <c r="L558" s="21" t="s">
        <v>38</v>
      </c>
      <c r="M558" s="21" t="s">
        <v>39</v>
      </c>
      <c r="N558" s="16" t="s">
        <v>42</v>
      </c>
      <c r="O558" t="str">
        <f>IF(TRIM(J558)="","NULL",IFERROR(VLOOKUP(TRIM(J558),Lookup_PropertyType!$A:$B,2,FALSE()),"other"))</f>
        <v>apartment</v>
      </c>
      <c r="P558">
        <f t="shared" si="8"/>
        <v>0</v>
      </c>
    </row>
    <row r="559" spans="1:16" ht="15.75" customHeight="1" x14ac:dyDescent="0.35">
      <c r="A559" s="13">
        <v>558</v>
      </c>
      <c r="B559" s="14">
        <v>45851</v>
      </c>
      <c r="C559" s="15"/>
      <c r="D559" s="16" t="s">
        <v>55</v>
      </c>
      <c r="E559" s="17">
        <v>12000</v>
      </c>
      <c r="F559" s="13">
        <v>90</v>
      </c>
      <c r="G559" s="13">
        <v>482</v>
      </c>
      <c r="H559" s="19">
        <v>400000</v>
      </c>
      <c r="I559" s="19">
        <v>50000</v>
      </c>
      <c r="J559" s="20" t="s">
        <v>37</v>
      </c>
      <c r="K559" s="13">
        <v>59</v>
      </c>
      <c r="L559" s="21" t="s">
        <v>38</v>
      </c>
      <c r="M559" s="21" t="s">
        <v>39</v>
      </c>
      <c r="N559" s="16" t="s">
        <v>36</v>
      </c>
      <c r="O559" t="str">
        <f>IF(TRIM(J559)="","NULL",IFERROR(VLOOKUP(TRIM(J559),Lookup_PropertyType!$A:$B,2,FALSE()),"other"))</f>
        <v>house</v>
      </c>
      <c r="P559">
        <f t="shared" si="8"/>
        <v>0</v>
      </c>
    </row>
    <row r="560" spans="1:16" ht="15.75" customHeight="1" x14ac:dyDescent="0.35">
      <c r="A560" s="13">
        <v>559</v>
      </c>
      <c r="B560" s="14">
        <v>45856</v>
      </c>
      <c r="C560" s="15"/>
      <c r="D560" s="16" t="s">
        <v>58</v>
      </c>
      <c r="E560" s="17">
        <v>20000</v>
      </c>
      <c r="F560" s="13">
        <v>90</v>
      </c>
      <c r="G560" s="13">
        <v>219</v>
      </c>
      <c r="H560" s="19">
        <v>425000</v>
      </c>
      <c r="I560" s="19">
        <v>150000</v>
      </c>
      <c r="J560" s="20" t="s">
        <v>33</v>
      </c>
      <c r="K560" s="13">
        <v>46</v>
      </c>
      <c r="L560" s="21" t="s">
        <v>41</v>
      </c>
      <c r="M560" s="21" t="s">
        <v>39</v>
      </c>
      <c r="N560" s="16" t="s">
        <v>42</v>
      </c>
      <c r="O560" t="str">
        <f>IF(TRIM(J560)="","NULL",IFERROR(VLOOKUP(TRIM(J560),Lookup_PropertyType!$A:$B,2,FALSE()),"other"))</f>
        <v>apartment</v>
      </c>
      <c r="P560">
        <f t="shared" si="8"/>
        <v>0</v>
      </c>
    </row>
    <row r="561" spans="1:16" ht="15.75" customHeight="1" x14ac:dyDescent="0.35">
      <c r="A561" s="13">
        <v>560</v>
      </c>
      <c r="B561" s="14">
        <v>45857</v>
      </c>
      <c r="C561" s="15"/>
      <c r="D561" s="16" t="s">
        <v>32</v>
      </c>
      <c r="E561" s="17">
        <v>13000</v>
      </c>
      <c r="F561" s="13">
        <v>180</v>
      </c>
      <c r="G561" s="13">
        <v>845</v>
      </c>
      <c r="H561" s="19">
        <v>520000</v>
      </c>
      <c r="I561" s="19">
        <v>250000</v>
      </c>
      <c r="J561" s="20" t="s">
        <v>33</v>
      </c>
      <c r="K561" s="13">
        <v>53</v>
      </c>
      <c r="L561" s="21" t="s">
        <v>59</v>
      </c>
      <c r="M561" s="21" t="s">
        <v>72</v>
      </c>
      <c r="N561" s="16" t="s">
        <v>50</v>
      </c>
      <c r="O561" t="str">
        <f>IF(TRIM(J561)="","NULL",IFERROR(VLOOKUP(TRIM(J561),Lookup_PropertyType!$A:$B,2,FALSE()),"other"))</f>
        <v>apartment</v>
      </c>
      <c r="P561">
        <f t="shared" si="8"/>
        <v>0</v>
      </c>
    </row>
    <row r="562" spans="1:16" ht="15.75" customHeight="1" x14ac:dyDescent="0.35">
      <c r="A562" s="13">
        <v>561</v>
      </c>
      <c r="B562" s="14">
        <v>45856</v>
      </c>
      <c r="C562" s="15"/>
      <c r="D562" s="16" t="s">
        <v>32</v>
      </c>
      <c r="E562" s="17">
        <v>4000</v>
      </c>
      <c r="F562" s="13">
        <v>120</v>
      </c>
      <c r="G562" s="13">
        <v>776</v>
      </c>
      <c r="H562" s="19">
        <v>350000</v>
      </c>
      <c r="I562" s="19">
        <v>60000</v>
      </c>
      <c r="J562" s="20" t="s">
        <v>37</v>
      </c>
      <c r="K562" s="13">
        <v>68</v>
      </c>
      <c r="L562" s="21" t="s">
        <v>38</v>
      </c>
      <c r="M562" s="21" t="s">
        <v>72</v>
      </c>
      <c r="N562" s="16" t="s">
        <v>43</v>
      </c>
      <c r="O562" t="str">
        <f>IF(TRIM(J562)="","NULL",IFERROR(VLOOKUP(TRIM(J562),Lookup_PropertyType!$A:$B,2,FALSE()),"other"))</f>
        <v>house</v>
      </c>
      <c r="P562">
        <f t="shared" si="8"/>
        <v>0</v>
      </c>
    </row>
    <row r="563" spans="1:16" ht="15.75" customHeight="1" x14ac:dyDescent="0.35">
      <c r="A563" s="13">
        <v>562</v>
      </c>
      <c r="B563" s="14">
        <v>45872</v>
      </c>
      <c r="C563" s="14">
        <v>45914</v>
      </c>
      <c r="D563" s="16" t="s">
        <v>32</v>
      </c>
      <c r="E563" s="17">
        <v>11000</v>
      </c>
      <c r="F563" s="13">
        <v>180</v>
      </c>
      <c r="G563" s="13">
        <v>813</v>
      </c>
      <c r="H563" s="19">
        <v>430000</v>
      </c>
      <c r="I563" s="19">
        <v>100000</v>
      </c>
      <c r="J563" s="20" t="s">
        <v>33</v>
      </c>
      <c r="K563" s="13">
        <v>57</v>
      </c>
      <c r="L563" s="21" t="s">
        <v>38</v>
      </c>
      <c r="M563" s="21" t="s">
        <v>54</v>
      </c>
      <c r="N563" s="16" t="s">
        <v>51</v>
      </c>
      <c r="O563" t="str">
        <f>IF(TRIM(J563)="","NULL",IFERROR(VLOOKUP(TRIM(J563),Lookup_PropertyType!$A:$B,2,FALSE()),"other"))</f>
        <v>apartment</v>
      </c>
      <c r="P563">
        <f t="shared" si="8"/>
        <v>1</v>
      </c>
    </row>
    <row r="564" spans="1:16" ht="15.75" customHeight="1" x14ac:dyDescent="0.35">
      <c r="A564" s="13">
        <v>563</v>
      </c>
      <c r="B564" s="14">
        <v>45863</v>
      </c>
      <c r="C564" s="15"/>
      <c r="D564" s="16" t="s">
        <v>32</v>
      </c>
      <c r="E564" s="17">
        <v>12000</v>
      </c>
      <c r="F564" s="18"/>
      <c r="G564" s="18"/>
      <c r="H564" s="19">
        <v>1300000</v>
      </c>
      <c r="I564" s="19">
        <v>200000</v>
      </c>
      <c r="J564" s="20" t="s">
        <v>37</v>
      </c>
      <c r="K564" s="13">
        <v>40</v>
      </c>
      <c r="L564" s="21" t="s">
        <v>41</v>
      </c>
      <c r="M564" s="21" t="s">
        <v>48</v>
      </c>
      <c r="N564" s="16" t="s">
        <v>42</v>
      </c>
      <c r="O564" t="str">
        <f>IF(TRIM(J564)="","NULL",IFERROR(VLOOKUP(TRIM(J564),Lookup_PropertyType!$A:$B,2,FALSE()),"other"))</f>
        <v>house</v>
      </c>
      <c r="P564">
        <f t="shared" si="8"/>
        <v>0</v>
      </c>
    </row>
    <row r="565" spans="1:16" ht="15.75" customHeight="1" x14ac:dyDescent="0.35">
      <c r="A565" s="13">
        <v>564</v>
      </c>
      <c r="B565" s="14">
        <v>45859</v>
      </c>
      <c r="C565" s="15"/>
      <c r="D565" s="16" t="s">
        <v>32</v>
      </c>
      <c r="E565" s="17">
        <v>5597</v>
      </c>
      <c r="F565" s="13">
        <v>180</v>
      </c>
      <c r="G565" s="13">
        <v>1000</v>
      </c>
      <c r="H565" s="19">
        <v>365000</v>
      </c>
      <c r="I565" s="19">
        <v>30000</v>
      </c>
      <c r="J565" s="20" t="s">
        <v>33</v>
      </c>
      <c r="K565" s="13">
        <v>72</v>
      </c>
      <c r="L565" s="21" t="s">
        <v>45</v>
      </c>
      <c r="M565" s="21" t="s">
        <v>39</v>
      </c>
      <c r="N565" s="16" t="s">
        <v>51</v>
      </c>
      <c r="O565" t="str">
        <f>IF(TRIM(J565)="","NULL",IFERROR(VLOOKUP(TRIM(J565),Lookup_PropertyType!$A:$B,2,FALSE()),"other"))</f>
        <v>apartment</v>
      </c>
      <c r="P565">
        <f t="shared" si="8"/>
        <v>0</v>
      </c>
    </row>
    <row r="566" spans="1:16" ht="15.75" customHeight="1" x14ac:dyDescent="0.35">
      <c r="A566" s="13">
        <v>565</v>
      </c>
      <c r="B566" s="14">
        <v>45877</v>
      </c>
      <c r="C566" s="15"/>
      <c r="D566" s="16" t="s">
        <v>32</v>
      </c>
      <c r="E566" s="17">
        <v>20000</v>
      </c>
      <c r="F566" s="13">
        <v>180</v>
      </c>
      <c r="G566" s="13">
        <v>901</v>
      </c>
      <c r="H566" s="19">
        <v>280000</v>
      </c>
      <c r="I566" s="19">
        <v>70000</v>
      </c>
      <c r="J566" s="20" t="s">
        <v>37</v>
      </c>
      <c r="K566" s="13">
        <v>72</v>
      </c>
      <c r="L566" s="21" t="s">
        <v>45</v>
      </c>
      <c r="M566" s="21" t="s">
        <v>39</v>
      </c>
      <c r="N566" s="16" t="s">
        <v>43</v>
      </c>
      <c r="O566" t="str">
        <f>IF(TRIM(J566)="","NULL",IFERROR(VLOOKUP(TRIM(J566),Lookup_PropertyType!$A:$B,2,FALSE()),"other"))</f>
        <v>house</v>
      </c>
      <c r="P566">
        <f t="shared" si="8"/>
        <v>0</v>
      </c>
    </row>
    <row r="567" spans="1:16" ht="15.75" customHeight="1" x14ac:dyDescent="0.35">
      <c r="A567" s="13">
        <v>566</v>
      </c>
      <c r="B567" s="14">
        <v>45864</v>
      </c>
      <c r="C567" s="15"/>
      <c r="D567" s="16" t="s">
        <v>44</v>
      </c>
      <c r="E567" s="17">
        <v>4900</v>
      </c>
      <c r="F567" s="13">
        <v>180</v>
      </c>
      <c r="G567" s="13">
        <v>301</v>
      </c>
      <c r="H567" s="19">
        <v>250000</v>
      </c>
      <c r="I567" s="19">
        <v>50000</v>
      </c>
      <c r="J567" s="20" t="s">
        <v>33</v>
      </c>
      <c r="K567" s="13">
        <v>40</v>
      </c>
      <c r="L567" s="21" t="s">
        <v>38</v>
      </c>
      <c r="M567" s="21" t="s">
        <v>39</v>
      </c>
      <c r="N567" s="16" t="s">
        <v>50</v>
      </c>
      <c r="O567" t="str">
        <f>IF(TRIM(J567)="","NULL",IFERROR(VLOOKUP(TRIM(J567),Lookup_PropertyType!$A:$B,2,FALSE()),"other"))</f>
        <v>apartment</v>
      </c>
      <c r="P567">
        <f t="shared" si="8"/>
        <v>0</v>
      </c>
    </row>
    <row r="568" spans="1:16" ht="15.75" customHeight="1" x14ac:dyDescent="0.35">
      <c r="A568" s="13">
        <v>567</v>
      </c>
      <c r="B568" s="14">
        <v>45891</v>
      </c>
      <c r="C568" s="15"/>
      <c r="D568" s="16" t="s">
        <v>32</v>
      </c>
      <c r="E568" s="17">
        <v>13000</v>
      </c>
      <c r="F568" s="13">
        <v>120</v>
      </c>
      <c r="G568" s="13">
        <v>595</v>
      </c>
      <c r="H568" s="19">
        <v>350000</v>
      </c>
      <c r="I568" s="19">
        <v>70000</v>
      </c>
      <c r="J568" s="20" t="s">
        <v>33</v>
      </c>
      <c r="K568" s="13">
        <v>49</v>
      </c>
      <c r="L568" s="21" t="s">
        <v>38</v>
      </c>
      <c r="M568" s="21" t="s">
        <v>54</v>
      </c>
      <c r="N568" s="16" t="s">
        <v>42</v>
      </c>
      <c r="O568" t="str">
        <f>IF(TRIM(J568)="","NULL",IFERROR(VLOOKUP(TRIM(J568),Lookup_PropertyType!$A:$B,2,FALSE()),"other"))</f>
        <v>apartment</v>
      </c>
      <c r="P568">
        <f t="shared" si="8"/>
        <v>0</v>
      </c>
    </row>
    <row r="569" spans="1:16" ht="15.75" customHeight="1" x14ac:dyDescent="0.35">
      <c r="A569" s="13">
        <v>568</v>
      </c>
      <c r="B569" s="14">
        <v>45923</v>
      </c>
      <c r="C569" s="15"/>
      <c r="D569" s="16" t="s">
        <v>32</v>
      </c>
      <c r="E569" s="17">
        <v>12564.66</v>
      </c>
      <c r="F569" s="13">
        <v>180</v>
      </c>
      <c r="G569" s="13">
        <v>898</v>
      </c>
      <c r="H569" s="19">
        <v>500000</v>
      </c>
      <c r="I569" s="19">
        <v>240000</v>
      </c>
      <c r="J569" s="20" t="s">
        <v>33</v>
      </c>
      <c r="K569" s="13">
        <v>45</v>
      </c>
      <c r="L569" s="21"/>
      <c r="M569" s="21" t="s">
        <v>35</v>
      </c>
      <c r="N569" s="16" t="s">
        <v>36</v>
      </c>
      <c r="O569" t="str">
        <f>IF(TRIM(J569)="","NULL",IFERROR(VLOOKUP(TRIM(J569),Lookup_PropertyType!$A:$B,2,FALSE()),"other"))</f>
        <v>apartment</v>
      </c>
      <c r="P569">
        <f t="shared" si="8"/>
        <v>0</v>
      </c>
    </row>
    <row r="570" spans="1:16" ht="15.75" customHeight="1" x14ac:dyDescent="0.35">
      <c r="A570" s="13">
        <v>569</v>
      </c>
      <c r="B570" s="14">
        <v>45858</v>
      </c>
      <c r="C570" s="14">
        <v>45900</v>
      </c>
      <c r="D570" s="16" t="s">
        <v>32</v>
      </c>
      <c r="E570" s="17">
        <v>12000</v>
      </c>
      <c r="F570" s="13">
        <v>180</v>
      </c>
      <c r="G570" s="13">
        <v>654</v>
      </c>
      <c r="H570" s="19">
        <v>500000</v>
      </c>
      <c r="I570" s="19">
        <v>110000</v>
      </c>
      <c r="J570" s="20" t="s">
        <v>33</v>
      </c>
      <c r="K570" s="13">
        <v>40</v>
      </c>
      <c r="L570" s="21" t="s">
        <v>34</v>
      </c>
      <c r="M570" s="21" t="s">
        <v>39</v>
      </c>
      <c r="N570" s="16" t="s">
        <v>42</v>
      </c>
      <c r="O570" t="str">
        <f>IF(TRIM(J570)="","NULL",IFERROR(VLOOKUP(TRIM(J570),Lookup_PropertyType!$A:$B,2,FALSE()),"other"))</f>
        <v>apartment</v>
      </c>
      <c r="P570">
        <f t="shared" si="8"/>
        <v>1</v>
      </c>
    </row>
    <row r="571" spans="1:16" ht="15.75" customHeight="1" x14ac:dyDescent="0.35">
      <c r="A571" s="13">
        <v>570</v>
      </c>
      <c r="B571" s="14">
        <v>45925</v>
      </c>
      <c r="C571" s="14">
        <v>46019</v>
      </c>
      <c r="D571" s="16" t="s">
        <v>32</v>
      </c>
      <c r="E571" s="17">
        <v>7000</v>
      </c>
      <c r="F571" s="13">
        <v>180</v>
      </c>
      <c r="G571" s="13">
        <v>453</v>
      </c>
      <c r="H571" s="19">
        <v>390000</v>
      </c>
      <c r="I571" s="19">
        <v>60000</v>
      </c>
      <c r="J571" s="20" t="s">
        <v>70</v>
      </c>
      <c r="K571" s="13">
        <v>44</v>
      </c>
      <c r="L571" s="21" t="s">
        <v>64</v>
      </c>
      <c r="M571" s="21" t="s">
        <v>72</v>
      </c>
      <c r="N571" s="16" t="s">
        <v>42</v>
      </c>
      <c r="O571" t="str">
        <f>IF(TRIM(J571)="","NULL",IFERROR(VLOOKUP(TRIM(J571),Lookup_PropertyType!$A:$B,2,FALSE()),"other"))</f>
        <v>apartment</v>
      </c>
      <c r="P571">
        <f t="shared" si="8"/>
        <v>1</v>
      </c>
    </row>
    <row r="572" spans="1:16" ht="15.75" customHeight="1" x14ac:dyDescent="0.35">
      <c r="A572" s="13">
        <v>571</v>
      </c>
      <c r="B572" s="14">
        <v>45859</v>
      </c>
      <c r="C572" s="15"/>
      <c r="D572" s="16" t="s">
        <v>46</v>
      </c>
      <c r="E572" s="17">
        <v>3500</v>
      </c>
      <c r="F572" s="13">
        <v>120</v>
      </c>
      <c r="G572" s="13">
        <v>318</v>
      </c>
      <c r="H572" s="19">
        <v>200000</v>
      </c>
      <c r="I572" s="19">
        <v>30000</v>
      </c>
      <c r="J572" s="20" t="s">
        <v>37</v>
      </c>
      <c r="K572" s="13">
        <v>69</v>
      </c>
      <c r="L572" s="21" t="s">
        <v>38</v>
      </c>
      <c r="M572" s="21" t="s">
        <v>39</v>
      </c>
      <c r="N572" s="16" t="s">
        <v>48</v>
      </c>
      <c r="O572" t="str">
        <f>IF(TRIM(J572)="","NULL",IFERROR(VLOOKUP(TRIM(J572),Lookup_PropertyType!$A:$B,2,FALSE()),"other"))</f>
        <v>house</v>
      </c>
      <c r="P572">
        <f t="shared" si="8"/>
        <v>0</v>
      </c>
    </row>
    <row r="573" spans="1:16" ht="15.75" customHeight="1" x14ac:dyDescent="0.35">
      <c r="A573" s="13">
        <v>572</v>
      </c>
      <c r="B573" s="14">
        <v>45856</v>
      </c>
      <c r="C573" s="14">
        <v>45918</v>
      </c>
      <c r="D573" s="16" t="s">
        <v>44</v>
      </c>
      <c r="E573" s="17">
        <v>13000</v>
      </c>
      <c r="F573" s="13">
        <v>180</v>
      </c>
      <c r="G573" s="13">
        <v>664</v>
      </c>
      <c r="H573" s="19">
        <v>270000</v>
      </c>
      <c r="I573" s="19">
        <v>54000</v>
      </c>
      <c r="J573" s="20" t="s">
        <v>53</v>
      </c>
      <c r="K573" s="13">
        <v>61</v>
      </c>
      <c r="L573" s="21" t="s">
        <v>38</v>
      </c>
      <c r="M573" s="21" t="s">
        <v>39</v>
      </c>
      <c r="N573" s="16" t="s">
        <v>42</v>
      </c>
      <c r="O573" t="str">
        <f>IF(TRIM(J573)="","NULL",IFERROR(VLOOKUP(TRIM(J573),Lookup_PropertyType!$A:$B,2,FALSE()),"other"))</f>
        <v>other</v>
      </c>
      <c r="P573">
        <f t="shared" si="8"/>
        <v>1</v>
      </c>
    </row>
    <row r="574" spans="1:16" ht="15.75" customHeight="1" x14ac:dyDescent="0.35">
      <c r="A574" s="13">
        <v>573</v>
      </c>
      <c r="B574" s="14">
        <v>45905</v>
      </c>
      <c r="C574" s="14">
        <v>45943</v>
      </c>
      <c r="D574" s="16" t="s">
        <v>81</v>
      </c>
      <c r="E574" s="17">
        <v>14000</v>
      </c>
      <c r="F574" s="13">
        <v>180</v>
      </c>
      <c r="G574" s="13">
        <v>275</v>
      </c>
      <c r="H574" s="19">
        <v>400000</v>
      </c>
      <c r="I574" s="19">
        <v>150000</v>
      </c>
      <c r="J574" s="20" t="s">
        <v>60</v>
      </c>
      <c r="K574" s="13">
        <v>39</v>
      </c>
      <c r="L574" s="21" t="s">
        <v>38</v>
      </c>
      <c r="M574" s="21" t="s">
        <v>35</v>
      </c>
      <c r="N574" s="16" t="s">
        <v>42</v>
      </c>
      <c r="O574" t="str">
        <f>IF(TRIM(J574)="","NULL",IFERROR(VLOOKUP(TRIM(J574),Lookup_PropertyType!$A:$B,2,FALSE()),"other"))</f>
        <v>other</v>
      </c>
      <c r="P574">
        <f t="shared" si="8"/>
        <v>1</v>
      </c>
    </row>
    <row r="575" spans="1:16" ht="15.75" customHeight="1" x14ac:dyDescent="0.35">
      <c r="A575" s="13">
        <v>574</v>
      </c>
      <c r="B575" s="14">
        <v>45873</v>
      </c>
      <c r="C575" s="15"/>
      <c r="D575" s="16" t="s">
        <v>32</v>
      </c>
      <c r="E575" s="17">
        <v>10000</v>
      </c>
      <c r="F575" s="13">
        <v>180</v>
      </c>
      <c r="G575" s="13">
        <v>251</v>
      </c>
      <c r="H575" s="19">
        <v>600000</v>
      </c>
      <c r="I575" s="19">
        <v>150000</v>
      </c>
      <c r="J575" s="20" t="s">
        <v>37</v>
      </c>
      <c r="K575" s="13">
        <v>53</v>
      </c>
      <c r="L575" s="21" t="s">
        <v>38</v>
      </c>
      <c r="M575" s="21" t="s">
        <v>39</v>
      </c>
      <c r="N575" s="16" t="s">
        <v>40</v>
      </c>
      <c r="O575" t="str">
        <f>IF(TRIM(J575)="","NULL",IFERROR(VLOOKUP(TRIM(J575),Lookup_PropertyType!$A:$B,2,FALSE()),"other"))</f>
        <v>house</v>
      </c>
      <c r="P575">
        <f t="shared" si="8"/>
        <v>0</v>
      </c>
    </row>
    <row r="576" spans="1:16" ht="15.75" customHeight="1" x14ac:dyDescent="0.35">
      <c r="A576" s="13">
        <v>575</v>
      </c>
      <c r="B576" s="14">
        <v>45858</v>
      </c>
      <c r="C576" s="15"/>
      <c r="D576" s="16" t="s">
        <v>32</v>
      </c>
      <c r="E576" s="17">
        <v>30000</v>
      </c>
      <c r="F576" s="13">
        <v>120</v>
      </c>
      <c r="G576" s="13">
        <v>886</v>
      </c>
      <c r="H576" s="19">
        <v>750000</v>
      </c>
      <c r="I576" s="19">
        <v>200000</v>
      </c>
      <c r="J576" s="20" t="s">
        <v>60</v>
      </c>
      <c r="K576" s="13">
        <v>37</v>
      </c>
      <c r="L576" s="21" t="s">
        <v>64</v>
      </c>
      <c r="M576" s="21" t="s">
        <v>35</v>
      </c>
      <c r="N576" s="16" t="s">
        <v>42</v>
      </c>
      <c r="O576" t="str">
        <f>IF(TRIM(J576)="","NULL",IFERROR(VLOOKUP(TRIM(J576),Lookup_PropertyType!$A:$B,2,FALSE()),"other"))</f>
        <v>other</v>
      </c>
      <c r="P576">
        <f t="shared" si="8"/>
        <v>0</v>
      </c>
    </row>
    <row r="577" spans="1:16" ht="15.75" customHeight="1" x14ac:dyDescent="0.35">
      <c r="A577" s="13">
        <v>576</v>
      </c>
      <c r="B577" s="14">
        <v>45863</v>
      </c>
      <c r="C577" s="15"/>
      <c r="D577" s="16" t="s">
        <v>32</v>
      </c>
      <c r="E577" s="17">
        <v>9200</v>
      </c>
      <c r="F577" s="13">
        <v>150</v>
      </c>
      <c r="G577" s="13">
        <v>720</v>
      </c>
      <c r="H577" s="19">
        <v>250000</v>
      </c>
      <c r="I577" s="19">
        <v>115000</v>
      </c>
      <c r="J577" s="20" t="s">
        <v>33</v>
      </c>
      <c r="K577" s="13">
        <v>38</v>
      </c>
      <c r="L577" s="21" t="s">
        <v>64</v>
      </c>
      <c r="M577" s="21" t="s">
        <v>39</v>
      </c>
      <c r="N577" s="16" t="s">
        <v>42</v>
      </c>
      <c r="O577" t="str">
        <f>IF(TRIM(J577)="","NULL",IFERROR(VLOOKUP(TRIM(J577),Lookup_PropertyType!$A:$B,2,FALSE()),"other"))</f>
        <v>apartment</v>
      </c>
      <c r="P577">
        <f t="shared" si="8"/>
        <v>0</v>
      </c>
    </row>
    <row r="578" spans="1:16" ht="15.75" customHeight="1" x14ac:dyDescent="0.35">
      <c r="A578" s="13">
        <v>577</v>
      </c>
      <c r="B578" s="14">
        <v>46034</v>
      </c>
      <c r="C578" s="15"/>
      <c r="D578" s="16" t="s">
        <v>46</v>
      </c>
      <c r="E578" s="17">
        <v>10000</v>
      </c>
      <c r="F578" s="13">
        <v>180</v>
      </c>
      <c r="G578" s="13">
        <v>951</v>
      </c>
      <c r="H578" s="19">
        <v>350000</v>
      </c>
      <c r="I578" s="19">
        <v>100000</v>
      </c>
      <c r="J578" s="20" t="s">
        <v>37</v>
      </c>
      <c r="K578" s="13">
        <v>49</v>
      </c>
      <c r="L578" s="21" t="s">
        <v>41</v>
      </c>
      <c r="M578" s="21" t="s">
        <v>39</v>
      </c>
      <c r="N578" s="16" t="s">
        <v>36</v>
      </c>
      <c r="O578" t="str">
        <f>IF(TRIM(J578)="","NULL",IFERROR(VLOOKUP(TRIM(J578),Lookup_PropertyType!$A:$B,2,FALSE()),"other"))</f>
        <v>house</v>
      </c>
      <c r="P578">
        <f t="shared" ref="P578:P641" si="9">IF(AND(C578&lt;&gt;"",C578&gt;=B578),1,0)</f>
        <v>0</v>
      </c>
    </row>
    <row r="579" spans="1:16" ht="15.75" customHeight="1" x14ac:dyDescent="0.35">
      <c r="A579" s="13">
        <v>578</v>
      </c>
      <c r="B579" s="14">
        <v>45856</v>
      </c>
      <c r="C579" s="15"/>
      <c r="D579" s="16"/>
      <c r="E579" s="17">
        <v>9000</v>
      </c>
      <c r="F579" s="13">
        <v>120</v>
      </c>
      <c r="G579" s="13">
        <v>977</v>
      </c>
      <c r="H579" s="19">
        <v>450000</v>
      </c>
      <c r="I579" s="19">
        <v>130000</v>
      </c>
      <c r="J579" s="20" t="s">
        <v>33</v>
      </c>
      <c r="K579" s="13">
        <v>53</v>
      </c>
      <c r="L579" s="21" t="s">
        <v>64</v>
      </c>
      <c r="M579" s="21" t="s">
        <v>39</v>
      </c>
      <c r="N579" s="16" t="s">
        <v>42</v>
      </c>
      <c r="O579" t="str">
        <f>IF(TRIM(J579)="","NULL",IFERROR(VLOOKUP(TRIM(J579),Lookup_PropertyType!$A:$B,2,FALSE()),"other"))</f>
        <v>apartment</v>
      </c>
      <c r="P579">
        <f t="shared" si="9"/>
        <v>0</v>
      </c>
    </row>
    <row r="580" spans="1:16" ht="15.75" customHeight="1" x14ac:dyDescent="0.35">
      <c r="A580" s="13">
        <v>579</v>
      </c>
      <c r="B580" s="14">
        <v>45857</v>
      </c>
      <c r="C580" s="15"/>
      <c r="D580" s="16" t="s">
        <v>32</v>
      </c>
      <c r="E580" s="17">
        <v>9000</v>
      </c>
      <c r="F580" s="13">
        <v>180</v>
      </c>
      <c r="G580" s="13">
        <v>738</v>
      </c>
      <c r="H580" s="19">
        <v>600000</v>
      </c>
      <c r="I580" s="19">
        <v>100000</v>
      </c>
      <c r="J580" s="20" t="s">
        <v>33</v>
      </c>
      <c r="K580" s="13">
        <v>44</v>
      </c>
      <c r="L580" s="21" t="s">
        <v>59</v>
      </c>
      <c r="M580" s="21" t="s">
        <v>39</v>
      </c>
      <c r="N580" s="16" t="s">
        <v>48</v>
      </c>
      <c r="O580" t="str">
        <f>IF(TRIM(J580)="","NULL",IFERROR(VLOOKUP(TRIM(J580),Lookup_PropertyType!$A:$B,2,FALSE()),"other"))</f>
        <v>apartment</v>
      </c>
      <c r="P580">
        <f t="shared" si="9"/>
        <v>0</v>
      </c>
    </row>
    <row r="581" spans="1:16" ht="15.75" customHeight="1" x14ac:dyDescent="0.35">
      <c r="A581" s="13">
        <v>580</v>
      </c>
      <c r="B581" s="14">
        <v>45871</v>
      </c>
      <c r="C581" s="15"/>
      <c r="D581" s="16" t="s">
        <v>44</v>
      </c>
      <c r="E581" s="17">
        <v>9768.4699999999993</v>
      </c>
      <c r="F581" s="13">
        <v>180</v>
      </c>
      <c r="G581" s="13">
        <v>787</v>
      </c>
      <c r="H581" s="19">
        <v>250000</v>
      </c>
      <c r="I581" s="19">
        <v>95000</v>
      </c>
      <c r="J581" s="20" t="s">
        <v>37</v>
      </c>
      <c r="K581" s="13">
        <v>34</v>
      </c>
      <c r="L581" s="21" t="s">
        <v>34</v>
      </c>
      <c r="M581" s="21" t="s">
        <v>39</v>
      </c>
      <c r="N581" s="16" t="s">
        <v>50</v>
      </c>
      <c r="O581" t="str">
        <f>IF(TRIM(J581)="","NULL",IFERROR(VLOOKUP(TRIM(J581),Lookup_PropertyType!$A:$B,2,FALSE()),"other"))</f>
        <v>house</v>
      </c>
      <c r="P581">
        <f t="shared" si="9"/>
        <v>0</v>
      </c>
    </row>
    <row r="582" spans="1:16" ht="15.75" customHeight="1" x14ac:dyDescent="0.35">
      <c r="A582" s="13">
        <v>581</v>
      </c>
      <c r="B582" s="14">
        <v>45855</v>
      </c>
      <c r="C582" s="14">
        <v>45961</v>
      </c>
      <c r="D582" s="16" t="s">
        <v>46</v>
      </c>
      <c r="E582" s="17">
        <v>8000</v>
      </c>
      <c r="F582" s="13">
        <v>180</v>
      </c>
      <c r="G582" s="13">
        <v>449</v>
      </c>
      <c r="H582" s="19">
        <v>500000</v>
      </c>
      <c r="I582" s="19">
        <v>120000</v>
      </c>
      <c r="J582" s="20" t="s">
        <v>53</v>
      </c>
      <c r="K582" s="13">
        <v>54</v>
      </c>
      <c r="L582" s="21" t="s">
        <v>34</v>
      </c>
      <c r="M582" s="21" t="s">
        <v>54</v>
      </c>
      <c r="N582" s="16" t="s">
        <v>36</v>
      </c>
      <c r="O582" t="str">
        <f>IF(TRIM(J582)="","NULL",IFERROR(VLOOKUP(TRIM(J582),Lookup_PropertyType!$A:$B,2,FALSE()),"other"))</f>
        <v>other</v>
      </c>
      <c r="P582">
        <f t="shared" si="9"/>
        <v>1</v>
      </c>
    </row>
    <row r="583" spans="1:16" ht="15.75" customHeight="1" x14ac:dyDescent="0.35">
      <c r="A583" s="13">
        <v>582</v>
      </c>
      <c r="B583" s="14">
        <v>45898</v>
      </c>
      <c r="C583" s="14">
        <v>46018</v>
      </c>
      <c r="D583" s="16" t="s">
        <v>32</v>
      </c>
      <c r="E583" s="17">
        <v>4800</v>
      </c>
      <c r="F583" s="13">
        <v>180</v>
      </c>
      <c r="G583" s="13">
        <v>411</v>
      </c>
      <c r="H583" s="19">
        <v>240000</v>
      </c>
      <c r="I583" s="19">
        <v>50000</v>
      </c>
      <c r="J583" s="20" t="s">
        <v>37</v>
      </c>
      <c r="K583" s="13">
        <v>41</v>
      </c>
      <c r="L583" s="21" t="s">
        <v>41</v>
      </c>
      <c r="M583" s="21" t="s">
        <v>39</v>
      </c>
      <c r="N583" s="16" t="s">
        <v>42</v>
      </c>
      <c r="O583" t="str">
        <f>IF(TRIM(J583)="","NULL",IFERROR(VLOOKUP(TRIM(J583),Lookup_PropertyType!$A:$B,2,FALSE()),"other"))</f>
        <v>house</v>
      </c>
      <c r="P583">
        <f t="shared" si="9"/>
        <v>1</v>
      </c>
    </row>
    <row r="584" spans="1:16" ht="15.75" customHeight="1" x14ac:dyDescent="0.35">
      <c r="A584" s="13">
        <v>583</v>
      </c>
      <c r="B584" s="14">
        <v>45858</v>
      </c>
      <c r="C584" s="15"/>
      <c r="D584" s="16" t="s">
        <v>32</v>
      </c>
      <c r="E584" s="17">
        <v>6500</v>
      </c>
      <c r="F584" s="13">
        <v>180</v>
      </c>
      <c r="G584" s="13">
        <v>483</v>
      </c>
      <c r="H584" s="19">
        <v>350000</v>
      </c>
      <c r="I584" s="19">
        <v>55000</v>
      </c>
      <c r="J584" s="20" t="s">
        <v>37</v>
      </c>
      <c r="K584" s="13">
        <v>66</v>
      </c>
      <c r="L584" s="21" t="s">
        <v>64</v>
      </c>
      <c r="M584" s="21" t="s">
        <v>54</v>
      </c>
      <c r="N584" s="16" t="s">
        <v>51</v>
      </c>
      <c r="O584" t="str">
        <f>IF(TRIM(J584)="","NULL",IFERROR(VLOOKUP(TRIM(J584),Lookup_PropertyType!$A:$B,2,FALSE()),"other"))</f>
        <v>house</v>
      </c>
      <c r="P584">
        <f t="shared" si="9"/>
        <v>0</v>
      </c>
    </row>
    <row r="585" spans="1:16" ht="15.75" customHeight="1" x14ac:dyDescent="0.35">
      <c r="A585" s="13">
        <v>584</v>
      </c>
      <c r="B585" s="14">
        <v>45857</v>
      </c>
      <c r="C585" s="14">
        <v>45904</v>
      </c>
      <c r="D585" s="16" t="s">
        <v>32</v>
      </c>
      <c r="E585" s="17">
        <v>8000</v>
      </c>
      <c r="F585" s="13">
        <v>90</v>
      </c>
      <c r="G585" s="13">
        <v>395</v>
      </c>
      <c r="H585" s="19">
        <v>300000</v>
      </c>
      <c r="I585" s="19">
        <v>50000</v>
      </c>
      <c r="J585" s="20" t="s">
        <v>33</v>
      </c>
      <c r="K585" s="13">
        <v>60</v>
      </c>
      <c r="L585" s="21" t="s">
        <v>38</v>
      </c>
      <c r="M585" s="21" t="s">
        <v>39</v>
      </c>
      <c r="N585" s="16" t="s">
        <v>50</v>
      </c>
      <c r="O585" t="str">
        <f>IF(TRIM(J585)="","NULL",IFERROR(VLOOKUP(TRIM(J585),Lookup_PropertyType!$A:$B,2,FALSE()),"other"))</f>
        <v>apartment</v>
      </c>
      <c r="P585">
        <f t="shared" si="9"/>
        <v>1</v>
      </c>
    </row>
    <row r="586" spans="1:16" ht="15.75" customHeight="1" x14ac:dyDescent="0.35">
      <c r="A586" s="13">
        <v>585</v>
      </c>
      <c r="B586" s="14">
        <v>45893</v>
      </c>
      <c r="C586" s="15"/>
      <c r="D586" s="16" t="s">
        <v>32</v>
      </c>
      <c r="E586" s="17">
        <v>18000</v>
      </c>
      <c r="F586" s="13">
        <v>120</v>
      </c>
      <c r="G586" s="13">
        <v>732</v>
      </c>
      <c r="H586" s="19">
        <v>800000</v>
      </c>
      <c r="I586" s="19">
        <v>120000</v>
      </c>
      <c r="J586" s="20" t="s">
        <v>37</v>
      </c>
      <c r="K586" s="13">
        <v>50</v>
      </c>
      <c r="L586" s="21" t="s">
        <v>38</v>
      </c>
      <c r="M586" s="21" t="s">
        <v>39</v>
      </c>
      <c r="N586" s="16" t="s">
        <v>40</v>
      </c>
      <c r="O586" t="str">
        <f>IF(TRIM(J586)="","NULL",IFERROR(VLOOKUP(TRIM(J586),Lookup_PropertyType!$A:$B,2,FALSE()),"other"))</f>
        <v>house</v>
      </c>
      <c r="P586">
        <f t="shared" si="9"/>
        <v>0</v>
      </c>
    </row>
    <row r="587" spans="1:16" ht="15.75" customHeight="1" x14ac:dyDescent="0.35">
      <c r="A587" s="13">
        <v>586</v>
      </c>
      <c r="B587" s="14">
        <v>45870</v>
      </c>
      <c r="C587" s="15"/>
      <c r="D587" s="16" t="s">
        <v>32</v>
      </c>
      <c r="E587" s="17">
        <v>50000</v>
      </c>
      <c r="F587" s="13">
        <v>180</v>
      </c>
      <c r="G587" s="13">
        <v>569</v>
      </c>
      <c r="H587" s="19">
        <v>1600000</v>
      </c>
      <c r="I587" s="19">
        <v>800000</v>
      </c>
      <c r="J587" s="20" t="s">
        <v>37</v>
      </c>
      <c r="K587" s="13">
        <v>61</v>
      </c>
      <c r="L587" s="21" t="s">
        <v>41</v>
      </c>
      <c r="M587" s="21" t="s">
        <v>39</v>
      </c>
      <c r="N587" s="16" t="s">
        <v>50</v>
      </c>
      <c r="O587" t="str">
        <f>IF(TRIM(J587)="","NULL",IFERROR(VLOOKUP(TRIM(J587),Lookup_PropertyType!$A:$B,2,FALSE()),"other"))</f>
        <v>house</v>
      </c>
      <c r="P587">
        <f t="shared" si="9"/>
        <v>0</v>
      </c>
    </row>
    <row r="588" spans="1:16" ht="15.75" customHeight="1" x14ac:dyDescent="0.35">
      <c r="A588" s="13">
        <v>587</v>
      </c>
      <c r="B588" s="14">
        <v>45857</v>
      </c>
      <c r="C588" s="15"/>
      <c r="D588" s="16" t="s">
        <v>32</v>
      </c>
      <c r="E588" s="17">
        <v>9000</v>
      </c>
      <c r="F588" s="13">
        <v>180</v>
      </c>
      <c r="G588" s="13">
        <v>881</v>
      </c>
      <c r="H588" s="19">
        <v>500000</v>
      </c>
      <c r="I588" s="19">
        <v>100000</v>
      </c>
      <c r="J588" s="20" t="s">
        <v>33</v>
      </c>
      <c r="K588" s="13">
        <v>47</v>
      </c>
      <c r="L588" s="21" t="s">
        <v>38</v>
      </c>
      <c r="M588" s="21" t="s">
        <v>39</v>
      </c>
      <c r="N588" s="16" t="s">
        <v>42</v>
      </c>
      <c r="O588" t="str">
        <f>IF(TRIM(J588)="","NULL",IFERROR(VLOOKUP(TRIM(J588),Lookup_PropertyType!$A:$B,2,FALSE()),"other"))</f>
        <v>apartment</v>
      </c>
      <c r="P588">
        <f t="shared" si="9"/>
        <v>0</v>
      </c>
    </row>
    <row r="589" spans="1:16" ht="15.75" customHeight="1" x14ac:dyDescent="0.35">
      <c r="A589" s="13">
        <v>588</v>
      </c>
      <c r="B589" s="14">
        <v>45856</v>
      </c>
      <c r="C589" s="15"/>
      <c r="D589" s="16" t="s">
        <v>32</v>
      </c>
      <c r="E589" s="17">
        <v>48527.14</v>
      </c>
      <c r="F589" s="13">
        <v>180</v>
      </c>
      <c r="G589" s="13">
        <v>350</v>
      </c>
      <c r="H589" s="19">
        <v>1900000</v>
      </c>
      <c r="I589" s="19">
        <v>300000</v>
      </c>
      <c r="J589" s="20" t="s">
        <v>37</v>
      </c>
      <c r="K589" s="13">
        <v>58</v>
      </c>
      <c r="L589" s="21" t="s">
        <v>45</v>
      </c>
      <c r="M589" s="21" t="s">
        <v>35</v>
      </c>
      <c r="N589" s="16" t="s">
        <v>36</v>
      </c>
      <c r="O589" t="str">
        <f>IF(TRIM(J589)="","NULL",IFERROR(VLOOKUP(TRIM(J589),Lookup_PropertyType!$A:$B,2,FALSE()),"other"))</f>
        <v>house</v>
      </c>
      <c r="P589">
        <f t="shared" si="9"/>
        <v>0</v>
      </c>
    </row>
    <row r="590" spans="1:16" ht="15.75" customHeight="1" x14ac:dyDescent="0.35">
      <c r="A590" s="13">
        <v>589</v>
      </c>
      <c r="B590" s="14">
        <v>45878</v>
      </c>
      <c r="C590" s="15"/>
      <c r="D590" s="16" t="s">
        <v>58</v>
      </c>
      <c r="E590" s="17">
        <v>9000</v>
      </c>
      <c r="F590" s="13">
        <v>180</v>
      </c>
      <c r="G590" s="13">
        <v>280</v>
      </c>
      <c r="H590" s="19">
        <v>210000</v>
      </c>
      <c r="I590" s="19">
        <v>100000</v>
      </c>
      <c r="J590" s="20" t="s">
        <v>33</v>
      </c>
      <c r="K590" s="13">
        <v>32</v>
      </c>
      <c r="L590" s="21" t="s">
        <v>41</v>
      </c>
      <c r="M590" s="21" t="s">
        <v>54</v>
      </c>
      <c r="N590" s="16" t="s">
        <v>40</v>
      </c>
      <c r="O590" t="str">
        <f>IF(TRIM(J590)="","NULL",IFERROR(VLOOKUP(TRIM(J590),Lookup_PropertyType!$A:$B,2,FALSE()),"other"))</f>
        <v>apartment</v>
      </c>
      <c r="P590">
        <f t="shared" si="9"/>
        <v>0</v>
      </c>
    </row>
    <row r="591" spans="1:16" ht="15.75" customHeight="1" x14ac:dyDescent="0.35">
      <c r="A591" s="13">
        <v>590</v>
      </c>
      <c r="B591" s="14">
        <v>45859</v>
      </c>
      <c r="C591" s="15"/>
      <c r="D591" s="16" t="s">
        <v>58</v>
      </c>
      <c r="E591" s="17">
        <v>21804</v>
      </c>
      <c r="F591" s="13">
        <v>180</v>
      </c>
      <c r="G591" s="13">
        <v>933</v>
      </c>
      <c r="H591" s="19">
        <v>800000</v>
      </c>
      <c r="I591" s="19">
        <v>400000</v>
      </c>
      <c r="J591" s="20" t="s">
        <v>33</v>
      </c>
      <c r="K591" s="13">
        <v>58</v>
      </c>
      <c r="L591" s="21" t="s">
        <v>41</v>
      </c>
      <c r="M591" s="21" t="s">
        <v>39</v>
      </c>
      <c r="N591" s="16" t="s">
        <v>36</v>
      </c>
      <c r="O591" t="str">
        <f>IF(TRIM(J591)="","NULL",IFERROR(VLOOKUP(TRIM(J591),Lookup_PropertyType!$A:$B,2,FALSE()),"other"))</f>
        <v>apartment</v>
      </c>
      <c r="P591">
        <f t="shared" si="9"/>
        <v>0</v>
      </c>
    </row>
    <row r="592" spans="1:16" ht="15.75" customHeight="1" x14ac:dyDescent="0.35">
      <c r="A592" s="13">
        <v>591</v>
      </c>
      <c r="B592" s="14">
        <v>45911</v>
      </c>
      <c r="C592" s="14">
        <v>45949</v>
      </c>
      <c r="D592" s="16" t="s">
        <v>32</v>
      </c>
      <c r="E592" s="17">
        <v>25000</v>
      </c>
      <c r="F592" s="13">
        <v>90</v>
      </c>
      <c r="G592" s="13">
        <v>792</v>
      </c>
      <c r="H592" s="19">
        <v>2200000</v>
      </c>
      <c r="I592" s="19">
        <v>450000</v>
      </c>
      <c r="J592" s="20" t="s">
        <v>33</v>
      </c>
      <c r="K592" s="13">
        <v>50</v>
      </c>
      <c r="L592" s="21" t="s">
        <v>38</v>
      </c>
      <c r="M592" s="21" t="s">
        <v>39</v>
      </c>
      <c r="N592" s="16" t="s">
        <v>40</v>
      </c>
      <c r="O592" t="str">
        <f>IF(TRIM(J592)="","NULL",IFERROR(VLOOKUP(TRIM(J592),Lookup_PropertyType!$A:$B,2,FALSE()),"other"))</f>
        <v>apartment</v>
      </c>
      <c r="P592">
        <f t="shared" si="9"/>
        <v>1</v>
      </c>
    </row>
    <row r="593" spans="1:16" ht="15.75" customHeight="1" x14ac:dyDescent="0.35">
      <c r="A593" s="13">
        <v>592</v>
      </c>
      <c r="B593" s="14">
        <v>45857</v>
      </c>
      <c r="C593" s="15"/>
      <c r="D593" s="16" t="s">
        <v>32</v>
      </c>
      <c r="E593" s="17">
        <v>11000</v>
      </c>
      <c r="F593" s="13">
        <v>180</v>
      </c>
      <c r="G593" s="13">
        <v>913</v>
      </c>
      <c r="H593" s="19">
        <v>200000</v>
      </c>
      <c r="I593" s="19">
        <v>100000</v>
      </c>
      <c r="J593" s="20" t="s">
        <v>62</v>
      </c>
      <c r="K593" s="13">
        <v>43</v>
      </c>
      <c r="L593" s="21" t="s">
        <v>38</v>
      </c>
      <c r="M593" s="21" t="s">
        <v>54</v>
      </c>
      <c r="N593" s="16" t="s">
        <v>50</v>
      </c>
      <c r="O593" t="str">
        <f>IF(TRIM(J593)="","NULL",IFERROR(VLOOKUP(TRIM(J593),Lookup_PropertyType!$A:$B,2,FALSE()),"other"))</f>
        <v>apartment</v>
      </c>
      <c r="P593">
        <f t="shared" si="9"/>
        <v>0</v>
      </c>
    </row>
    <row r="594" spans="1:16" ht="15.75" customHeight="1" x14ac:dyDescent="0.35">
      <c r="A594" s="13">
        <v>593</v>
      </c>
      <c r="B594" s="14">
        <v>45869</v>
      </c>
      <c r="C594" s="14">
        <v>45947</v>
      </c>
      <c r="D594" s="16" t="s">
        <v>32</v>
      </c>
      <c r="E594" s="17">
        <v>25000</v>
      </c>
      <c r="F594" s="13">
        <v>180</v>
      </c>
      <c r="G594" s="13">
        <v>877</v>
      </c>
      <c r="H594" s="19">
        <v>3000000</v>
      </c>
      <c r="I594" s="19">
        <v>500000</v>
      </c>
      <c r="J594" s="20" t="s">
        <v>37</v>
      </c>
      <c r="K594" s="13">
        <v>48</v>
      </c>
      <c r="L594" s="21" t="s">
        <v>38</v>
      </c>
      <c r="M594" s="21" t="s">
        <v>39</v>
      </c>
      <c r="N594" s="16" t="s">
        <v>51</v>
      </c>
      <c r="O594" t="str">
        <f>IF(TRIM(J594)="","NULL",IFERROR(VLOOKUP(TRIM(J594),Lookup_PropertyType!$A:$B,2,FALSE()),"other"))</f>
        <v>house</v>
      </c>
      <c r="P594">
        <f t="shared" si="9"/>
        <v>1</v>
      </c>
    </row>
    <row r="595" spans="1:16" ht="15.75" customHeight="1" x14ac:dyDescent="0.35">
      <c r="A595" s="13">
        <v>594</v>
      </c>
      <c r="B595" s="14">
        <v>45856</v>
      </c>
      <c r="C595" s="14">
        <v>45936</v>
      </c>
      <c r="D595" s="16" t="s">
        <v>49</v>
      </c>
      <c r="E595" s="17">
        <v>7084.46</v>
      </c>
      <c r="F595" s="13">
        <v>180</v>
      </c>
      <c r="G595" s="13">
        <v>378</v>
      </c>
      <c r="H595" s="19">
        <v>220000</v>
      </c>
      <c r="I595" s="19">
        <v>50000</v>
      </c>
      <c r="J595" s="20" t="s">
        <v>37</v>
      </c>
      <c r="K595" s="13">
        <v>47</v>
      </c>
      <c r="L595" s="21" t="s">
        <v>38</v>
      </c>
      <c r="M595" s="21" t="s">
        <v>35</v>
      </c>
      <c r="N595" s="16" t="s">
        <v>42</v>
      </c>
      <c r="O595" t="str">
        <f>IF(TRIM(J595)="","NULL",IFERROR(VLOOKUP(TRIM(J595),Lookup_PropertyType!$A:$B,2,FALSE()),"other"))</f>
        <v>house</v>
      </c>
      <c r="P595">
        <f t="shared" si="9"/>
        <v>1</v>
      </c>
    </row>
    <row r="596" spans="1:16" ht="15.75" customHeight="1" x14ac:dyDescent="0.35">
      <c r="A596" s="13">
        <v>595</v>
      </c>
      <c r="B596" s="14">
        <v>45862</v>
      </c>
      <c r="C596" s="15"/>
      <c r="D596" s="16" t="s">
        <v>32</v>
      </c>
      <c r="E596" s="17">
        <v>6000</v>
      </c>
      <c r="F596" s="13">
        <v>180</v>
      </c>
      <c r="G596" s="13">
        <v>962</v>
      </c>
      <c r="H596" s="19">
        <v>235000</v>
      </c>
      <c r="I596" s="19">
        <v>100000</v>
      </c>
      <c r="J596" s="20" t="s">
        <v>37</v>
      </c>
      <c r="K596" s="13">
        <v>61</v>
      </c>
      <c r="L596" s="21" t="s">
        <v>38</v>
      </c>
      <c r="M596" s="21" t="s">
        <v>39</v>
      </c>
      <c r="N596" s="16" t="s">
        <v>51</v>
      </c>
      <c r="O596" t="str">
        <f>IF(TRIM(J596)="","NULL",IFERROR(VLOOKUP(TRIM(J596),Lookup_PropertyType!$A:$B,2,FALSE()),"other"))</f>
        <v>house</v>
      </c>
      <c r="P596">
        <f t="shared" si="9"/>
        <v>0</v>
      </c>
    </row>
    <row r="597" spans="1:16" ht="15.75" customHeight="1" x14ac:dyDescent="0.35">
      <c r="A597" s="13">
        <v>596</v>
      </c>
      <c r="B597" s="14">
        <v>46009</v>
      </c>
      <c r="C597" s="15"/>
      <c r="D597" s="16" t="s">
        <v>32</v>
      </c>
      <c r="E597" s="17">
        <v>3500</v>
      </c>
      <c r="F597" s="13">
        <v>180</v>
      </c>
      <c r="G597" s="13">
        <v>267</v>
      </c>
      <c r="H597" s="19">
        <v>300000</v>
      </c>
      <c r="I597" s="19">
        <v>75000</v>
      </c>
      <c r="J597" s="20" t="s">
        <v>37</v>
      </c>
      <c r="K597" s="13">
        <v>62</v>
      </c>
      <c r="L597" s="21" t="s">
        <v>38</v>
      </c>
      <c r="M597" s="21" t="s">
        <v>39</v>
      </c>
      <c r="N597" s="16" t="s">
        <v>43</v>
      </c>
      <c r="O597" t="str">
        <f>IF(TRIM(J597)="","NULL",IFERROR(VLOOKUP(TRIM(J597),Lookup_PropertyType!$A:$B,2,FALSE()),"other"))</f>
        <v>house</v>
      </c>
      <c r="P597">
        <f t="shared" si="9"/>
        <v>0</v>
      </c>
    </row>
    <row r="598" spans="1:16" ht="15.75" customHeight="1" x14ac:dyDescent="0.35">
      <c r="A598" s="13">
        <v>597</v>
      </c>
      <c r="B598" s="14">
        <v>45891</v>
      </c>
      <c r="C598" s="15"/>
      <c r="D598" s="16" t="s">
        <v>32</v>
      </c>
      <c r="E598" s="17">
        <v>10000</v>
      </c>
      <c r="F598" s="13">
        <v>180</v>
      </c>
      <c r="G598" s="13">
        <v>173</v>
      </c>
      <c r="H598" s="19">
        <v>450000</v>
      </c>
      <c r="I598" s="19">
        <v>30000</v>
      </c>
      <c r="J598" s="20" t="s">
        <v>33</v>
      </c>
      <c r="K598" s="13">
        <v>56</v>
      </c>
      <c r="L598" s="21" t="s">
        <v>38</v>
      </c>
      <c r="M598" s="21" t="s">
        <v>54</v>
      </c>
      <c r="N598" s="16" t="s">
        <v>40</v>
      </c>
      <c r="O598" t="str">
        <f>IF(TRIM(J598)="","NULL",IFERROR(VLOOKUP(TRIM(J598),Lookup_PropertyType!$A:$B,2,FALSE()),"other"))</f>
        <v>apartment</v>
      </c>
      <c r="P598">
        <f t="shared" si="9"/>
        <v>0</v>
      </c>
    </row>
    <row r="599" spans="1:16" ht="15.75" customHeight="1" x14ac:dyDescent="0.35">
      <c r="A599" s="13">
        <v>598</v>
      </c>
      <c r="B599" s="14">
        <v>45866</v>
      </c>
      <c r="C599" s="14">
        <v>45955</v>
      </c>
      <c r="D599" s="16" t="s">
        <v>32</v>
      </c>
      <c r="E599" s="17">
        <v>8000</v>
      </c>
      <c r="F599" s="13">
        <v>180</v>
      </c>
      <c r="G599" s="13">
        <v>910</v>
      </c>
      <c r="H599" s="19">
        <v>500000</v>
      </c>
      <c r="I599" s="19">
        <v>100000</v>
      </c>
      <c r="J599" s="20" t="s">
        <v>37</v>
      </c>
      <c r="K599" s="13">
        <v>46</v>
      </c>
      <c r="L599" s="21" t="s">
        <v>34</v>
      </c>
      <c r="M599" s="21" t="s">
        <v>54</v>
      </c>
      <c r="N599" s="16" t="s">
        <v>42</v>
      </c>
      <c r="O599" t="str">
        <f>IF(TRIM(J599)="","NULL",IFERROR(VLOOKUP(TRIM(J599),Lookup_PropertyType!$A:$B,2,FALSE()),"other"))</f>
        <v>house</v>
      </c>
      <c r="P599">
        <f t="shared" si="9"/>
        <v>1</v>
      </c>
    </row>
    <row r="600" spans="1:16" ht="15.75" customHeight="1" x14ac:dyDescent="0.35">
      <c r="A600" s="13">
        <v>599</v>
      </c>
      <c r="B600" s="14">
        <v>45865</v>
      </c>
      <c r="C600" s="14">
        <v>45956</v>
      </c>
      <c r="D600" s="16"/>
      <c r="E600" s="17">
        <v>5594.03</v>
      </c>
      <c r="F600" s="13">
        <v>180</v>
      </c>
      <c r="G600" s="13">
        <v>573</v>
      </c>
      <c r="H600" s="19">
        <v>230000</v>
      </c>
      <c r="I600" s="19">
        <v>60000</v>
      </c>
      <c r="J600" s="20" t="s">
        <v>33</v>
      </c>
      <c r="K600" s="13">
        <v>67</v>
      </c>
      <c r="L600" s="21" t="s">
        <v>34</v>
      </c>
      <c r="M600" s="21" t="s">
        <v>39</v>
      </c>
      <c r="N600" s="16" t="s">
        <v>50</v>
      </c>
      <c r="O600" t="str">
        <f>IF(TRIM(J600)="","NULL",IFERROR(VLOOKUP(TRIM(J600),Lookup_PropertyType!$A:$B,2,FALSE()),"other"))</f>
        <v>apartment</v>
      </c>
      <c r="P600">
        <f t="shared" si="9"/>
        <v>1</v>
      </c>
    </row>
    <row r="601" spans="1:16" ht="15.75" customHeight="1" x14ac:dyDescent="0.35">
      <c r="A601" s="13">
        <v>600</v>
      </c>
      <c r="B601" s="14">
        <v>45864</v>
      </c>
      <c r="C601" s="15"/>
      <c r="D601" s="16" t="s">
        <v>32</v>
      </c>
      <c r="E601" s="17">
        <v>20000</v>
      </c>
      <c r="F601" s="13">
        <v>120</v>
      </c>
      <c r="G601" s="13">
        <v>434</v>
      </c>
      <c r="H601" s="19">
        <v>400000</v>
      </c>
      <c r="I601" s="19">
        <v>220000</v>
      </c>
      <c r="J601" s="20" t="s">
        <v>33</v>
      </c>
      <c r="K601" s="13">
        <v>58</v>
      </c>
      <c r="L601" s="21" t="s">
        <v>38</v>
      </c>
      <c r="M601" s="21" t="s">
        <v>48</v>
      </c>
      <c r="N601" s="16" t="s">
        <v>50</v>
      </c>
      <c r="O601" t="str">
        <f>IF(TRIM(J601)="","NULL",IFERROR(VLOOKUP(TRIM(J601),Lookup_PropertyType!$A:$B,2,FALSE()),"other"))</f>
        <v>apartment</v>
      </c>
      <c r="P601">
        <f t="shared" si="9"/>
        <v>0</v>
      </c>
    </row>
    <row r="602" spans="1:16" ht="15.75" customHeight="1" x14ac:dyDescent="0.35">
      <c r="A602" s="13">
        <v>601</v>
      </c>
      <c r="B602" s="14">
        <v>45864</v>
      </c>
      <c r="C602" s="15"/>
      <c r="D602" s="16" t="s">
        <v>32</v>
      </c>
      <c r="E602" s="17">
        <v>20000</v>
      </c>
      <c r="F602" s="13">
        <v>120</v>
      </c>
      <c r="G602" s="13">
        <v>723</v>
      </c>
      <c r="H602" s="19">
        <v>2000000</v>
      </c>
      <c r="I602" s="19">
        <v>300000</v>
      </c>
      <c r="J602" s="20" t="s">
        <v>37</v>
      </c>
      <c r="K602" s="13">
        <v>49</v>
      </c>
      <c r="L602" s="21" t="s">
        <v>38</v>
      </c>
      <c r="M602" s="21" t="s">
        <v>35</v>
      </c>
      <c r="N602" s="16" t="s">
        <v>36</v>
      </c>
      <c r="O602" t="str">
        <f>IF(TRIM(J602)="","NULL",IFERROR(VLOOKUP(TRIM(J602),Lookup_PropertyType!$A:$B,2,FALSE()),"other"))</f>
        <v>house</v>
      </c>
      <c r="P602">
        <f t="shared" si="9"/>
        <v>0</v>
      </c>
    </row>
    <row r="603" spans="1:16" ht="15.75" customHeight="1" x14ac:dyDescent="0.35">
      <c r="A603" s="13">
        <v>602</v>
      </c>
      <c r="B603" s="14">
        <v>45862</v>
      </c>
      <c r="C603" s="15"/>
      <c r="D603" s="16" t="s">
        <v>32</v>
      </c>
      <c r="E603" s="17">
        <v>26000</v>
      </c>
      <c r="F603" s="13">
        <v>180</v>
      </c>
      <c r="G603" s="13">
        <v>694</v>
      </c>
      <c r="H603" s="19">
        <v>480000</v>
      </c>
      <c r="I603" s="19">
        <v>250000</v>
      </c>
      <c r="J603" s="20" t="s">
        <v>33</v>
      </c>
      <c r="K603" s="13">
        <v>44</v>
      </c>
      <c r="L603" s="21" t="s">
        <v>41</v>
      </c>
      <c r="M603" s="21" t="s">
        <v>35</v>
      </c>
      <c r="N603" s="16" t="s">
        <v>42</v>
      </c>
      <c r="O603" t="str">
        <f>IF(TRIM(J603)="","NULL",IFERROR(VLOOKUP(TRIM(J603),Lookup_PropertyType!$A:$B,2,FALSE()),"other"))</f>
        <v>apartment</v>
      </c>
      <c r="P603">
        <f t="shared" si="9"/>
        <v>0</v>
      </c>
    </row>
    <row r="604" spans="1:16" ht="15.75" customHeight="1" x14ac:dyDescent="0.35">
      <c r="A604" s="13">
        <v>603</v>
      </c>
      <c r="B604" s="14">
        <v>45869</v>
      </c>
      <c r="C604" s="15"/>
      <c r="D604" s="16" t="s">
        <v>32</v>
      </c>
      <c r="E604" s="17">
        <v>8500</v>
      </c>
      <c r="F604" s="13">
        <v>180</v>
      </c>
      <c r="G604" s="13">
        <v>252</v>
      </c>
      <c r="H604" s="19">
        <v>300000</v>
      </c>
      <c r="I604" s="19">
        <v>200000</v>
      </c>
      <c r="J604" s="20" t="s">
        <v>37</v>
      </c>
      <c r="K604" s="13">
        <v>45</v>
      </c>
      <c r="L604" s="21" t="s">
        <v>38</v>
      </c>
      <c r="M604" s="21" t="s">
        <v>54</v>
      </c>
      <c r="N604" s="16" t="s">
        <v>50</v>
      </c>
      <c r="O604" t="str">
        <f>IF(TRIM(J604)="","NULL",IFERROR(VLOOKUP(TRIM(J604),Lookup_PropertyType!$A:$B,2,FALSE()),"other"))</f>
        <v>house</v>
      </c>
      <c r="P604">
        <f t="shared" si="9"/>
        <v>0</v>
      </c>
    </row>
    <row r="605" spans="1:16" ht="15.75" customHeight="1" x14ac:dyDescent="0.35">
      <c r="A605" s="13">
        <v>604</v>
      </c>
      <c r="B605" s="14">
        <v>46018</v>
      </c>
      <c r="C605" s="15"/>
      <c r="D605" s="16" t="s">
        <v>82</v>
      </c>
      <c r="E605" s="17">
        <v>8000</v>
      </c>
      <c r="F605" s="13">
        <v>180</v>
      </c>
      <c r="G605" s="13">
        <v>654</v>
      </c>
      <c r="H605" s="19">
        <v>600000</v>
      </c>
      <c r="I605" s="19">
        <v>150000</v>
      </c>
      <c r="J605" s="20" t="s">
        <v>33</v>
      </c>
      <c r="K605" s="13">
        <v>50</v>
      </c>
      <c r="L605" s="21" t="s">
        <v>64</v>
      </c>
      <c r="M605" s="21" t="s">
        <v>39</v>
      </c>
      <c r="N605" s="16" t="s">
        <v>42</v>
      </c>
      <c r="O605" t="str">
        <f>IF(TRIM(J605)="","NULL",IFERROR(VLOOKUP(TRIM(J605),Lookup_PropertyType!$A:$B,2,FALSE()),"other"))</f>
        <v>apartment</v>
      </c>
      <c r="P605">
        <f t="shared" si="9"/>
        <v>0</v>
      </c>
    </row>
    <row r="606" spans="1:16" ht="15.75" customHeight="1" x14ac:dyDescent="0.35">
      <c r="A606" s="13">
        <v>605</v>
      </c>
      <c r="B606" s="14">
        <v>45862</v>
      </c>
      <c r="C606" s="14">
        <v>45929</v>
      </c>
      <c r="D606" s="16" t="s">
        <v>32</v>
      </c>
      <c r="E606" s="17">
        <v>10000</v>
      </c>
      <c r="F606" s="13">
        <v>90</v>
      </c>
      <c r="G606" s="13">
        <v>340</v>
      </c>
      <c r="H606" s="19">
        <v>350000</v>
      </c>
      <c r="I606" s="19">
        <v>100000</v>
      </c>
      <c r="J606" s="20" t="s">
        <v>33</v>
      </c>
      <c r="K606" s="13">
        <v>53</v>
      </c>
      <c r="L606" s="21" t="s">
        <v>38</v>
      </c>
      <c r="M606" s="21" t="s">
        <v>67</v>
      </c>
      <c r="N606" s="16" t="s">
        <v>50</v>
      </c>
      <c r="O606" t="str">
        <f>IF(TRIM(J606)="","NULL",IFERROR(VLOOKUP(TRIM(J606),Lookup_PropertyType!$A:$B,2,FALSE()),"other"))</f>
        <v>apartment</v>
      </c>
      <c r="P606">
        <f t="shared" si="9"/>
        <v>1</v>
      </c>
    </row>
    <row r="607" spans="1:16" ht="15.75" customHeight="1" x14ac:dyDescent="0.35">
      <c r="A607" s="13">
        <v>606</v>
      </c>
      <c r="B607" s="14">
        <v>45873</v>
      </c>
      <c r="C607" s="15"/>
      <c r="D607" s="16" t="s">
        <v>32</v>
      </c>
      <c r="E607" s="17">
        <v>10000</v>
      </c>
      <c r="F607" s="13">
        <v>120</v>
      </c>
      <c r="G607" s="13">
        <v>398</v>
      </c>
      <c r="H607" s="19">
        <v>390000</v>
      </c>
      <c r="I607" s="19">
        <v>200000</v>
      </c>
      <c r="J607" s="20" t="s">
        <v>37</v>
      </c>
      <c r="K607" s="13">
        <v>43</v>
      </c>
      <c r="L607" s="21" t="s">
        <v>41</v>
      </c>
      <c r="M607" s="21" t="s">
        <v>39</v>
      </c>
      <c r="N607" s="16" t="s">
        <v>36</v>
      </c>
      <c r="O607" t="str">
        <f>IF(TRIM(J607)="","NULL",IFERROR(VLOOKUP(TRIM(J607),Lookup_PropertyType!$A:$B,2,FALSE()),"other"))</f>
        <v>house</v>
      </c>
      <c r="P607">
        <f t="shared" si="9"/>
        <v>0</v>
      </c>
    </row>
    <row r="608" spans="1:16" ht="15.75" customHeight="1" x14ac:dyDescent="0.35">
      <c r="A608" s="13">
        <v>607</v>
      </c>
      <c r="B608" s="14">
        <v>45865</v>
      </c>
      <c r="C608" s="15"/>
      <c r="D608" s="16" t="s">
        <v>49</v>
      </c>
      <c r="E608" s="17">
        <v>21000</v>
      </c>
      <c r="F608" s="13">
        <v>180</v>
      </c>
      <c r="G608" s="13">
        <v>543</v>
      </c>
      <c r="H608" s="19">
        <v>180000</v>
      </c>
      <c r="I608" s="19">
        <v>60000</v>
      </c>
      <c r="J608" s="20" t="s">
        <v>37</v>
      </c>
      <c r="K608" s="13">
        <v>38</v>
      </c>
      <c r="L608" s="21" t="s">
        <v>41</v>
      </c>
      <c r="M608" s="21" t="s">
        <v>39</v>
      </c>
      <c r="N608" s="16" t="s">
        <v>51</v>
      </c>
      <c r="O608" t="str">
        <f>IF(TRIM(J608)="","NULL",IFERROR(VLOOKUP(TRIM(J608),Lookup_PropertyType!$A:$B,2,FALSE()),"other"))</f>
        <v>house</v>
      </c>
      <c r="P608">
        <f t="shared" si="9"/>
        <v>0</v>
      </c>
    </row>
    <row r="609" spans="1:16" ht="15.75" customHeight="1" x14ac:dyDescent="0.35">
      <c r="A609" s="13">
        <v>608</v>
      </c>
      <c r="B609" s="14">
        <v>45859</v>
      </c>
      <c r="C609" s="15"/>
      <c r="D609" s="16" t="s">
        <v>32</v>
      </c>
      <c r="E609" s="17">
        <v>8000</v>
      </c>
      <c r="F609" s="13">
        <v>180</v>
      </c>
      <c r="G609" s="13">
        <v>602</v>
      </c>
      <c r="H609" s="19">
        <v>500000</v>
      </c>
      <c r="I609" s="19">
        <v>75000</v>
      </c>
      <c r="J609" s="20" t="s">
        <v>33</v>
      </c>
      <c r="K609" s="13">
        <v>36</v>
      </c>
      <c r="L609" s="21" t="s">
        <v>34</v>
      </c>
      <c r="M609" s="21" t="s">
        <v>39</v>
      </c>
      <c r="N609" s="16" t="s">
        <v>50</v>
      </c>
      <c r="O609" t="str">
        <f>IF(TRIM(J609)="","NULL",IFERROR(VLOOKUP(TRIM(J609),Lookup_PropertyType!$A:$B,2,FALSE()),"other"))</f>
        <v>apartment</v>
      </c>
      <c r="P609">
        <f t="shared" si="9"/>
        <v>0</v>
      </c>
    </row>
    <row r="610" spans="1:16" ht="15.75" customHeight="1" x14ac:dyDescent="0.35">
      <c r="A610" s="13">
        <v>609</v>
      </c>
      <c r="B610" s="14">
        <v>45858</v>
      </c>
      <c r="C610" s="15"/>
      <c r="D610" s="16" t="s">
        <v>32</v>
      </c>
      <c r="E610" s="17">
        <v>8000</v>
      </c>
      <c r="F610" s="13">
        <v>180</v>
      </c>
      <c r="G610" s="13">
        <v>471</v>
      </c>
      <c r="H610" s="19">
        <v>275000</v>
      </c>
      <c r="I610" s="19">
        <v>150000</v>
      </c>
      <c r="J610" s="20" t="s">
        <v>33</v>
      </c>
      <c r="K610" s="13">
        <v>32</v>
      </c>
      <c r="L610" s="21" t="s">
        <v>59</v>
      </c>
      <c r="M610" s="21" t="s">
        <v>39</v>
      </c>
      <c r="N610" s="16" t="s">
        <v>40</v>
      </c>
      <c r="O610" t="str">
        <f>IF(TRIM(J610)="","NULL",IFERROR(VLOOKUP(TRIM(J610),Lookup_PropertyType!$A:$B,2,FALSE()),"other"))</f>
        <v>apartment</v>
      </c>
      <c r="P610">
        <f t="shared" si="9"/>
        <v>0</v>
      </c>
    </row>
    <row r="611" spans="1:16" ht="15.75" customHeight="1" x14ac:dyDescent="0.35">
      <c r="A611" s="13">
        <v>610</v>
      </c>
      <c r="B611" s="14">
        <v>45858</v>
      </c>
      <c r="C611" s="15"/>
      <c r="D611" s="16" t="s">
        <v>32</v>
      </c>
      <c r="E611" s="17">
        <v>11600</v>
      </c>
      <c r="F611" s="13">
        <v>180</v>
      </c>
      <c r="G611" s="13">
        <v>454</v>
      </c>
      <c r="H611" s="19">
        <v>250000</v>
      </c>
      <c r="I611" s="19">
        <v>120000</v>
      </c>
      <c r="J611" s="20" t="s">
        <v>33</v>
      </c>
      <c r="K611" s="13">
        <v>37</v>
      </c>
      <c r="L611" s="21" t="s">
        <v>38</v>
      </c>
      <c r="M611" s="21" t="s">
        <v>39</v>
      </c>
      <c r="N611" s="16" t="s">
        <v>42</v>
      </c>
      <c r="O611" t="str">
        <f>IF(TRIM(J611)="","NULL",IFERROR(VLOOKUP(TRIM(J611),Lookup_PropertyType!$A:$B,2,FALSE()),"other"))</f>
        <v>apartment</v>
      </c>
      <c r="P611">
        <f t="shared" si="9"/>
        <v>0</v>
      </c>
    </row>
    <row r="612" spans="1:16" ht="15.75" customHeight="1" x14ac:dyDescent="0.35">
      <c r="A612" s="13">
        <v>611</v>
      </c>
      <c r="B612" s="14">
        <v>45869</v>
      </c>
      <c r="C612" s="14">
        <v>45948</v>
      </c>
      <c r="D612" s="16" t="s">
        <v>46</v>
      </c>
      <c r="E612" s="17">
        <v>20000</v>
      </c>
      <c r="F612" s="13">
        <v>180</v>
      </c>
      <c r="G612" s="13">
        <v>288</v>
      </c>
      <c r="H612" s="19">
        <v>650000</v>
      </c>
      <c r="I612" s="19">
        <v>250000</v>
      </c>
      <c r="J612" s="20" t="s">
        <v>33</v>
      </c>
      <c r="K612" s="13">
        <v>42</v>
      </c>
      <c r="L612" s="21" t="s">
        <v>41</v>
      </c>
      <c r="M612" s="21" t="s">
        <v>48</v>
      </c>
      <c r="N612" s="16" t="s">
        <v>36</v>
      </c>
      <c r="O612" t="str">
        <f>IF(TRIM(J612)="","NULL",IFERROR(VLOOKUP(TRIM(J612),Lookup_PropertyType!$A:$B,2,FALSE()),"other"))</f>
        <v>apartment</v>
      </c>
      <c r="P612">
        <f t="shared" si="9"/>
        <v>1</v>
      </c>
    </row>
    <row r="613" spans="1:16" ht="15.75" customHeight="1" x14ac:dyDescent="0.35">
      <c r="A613" s="13">
        <v>612</v>
      </c>
      <c r="B613" s="14">
        <v>45858</v>
      </c>
      <c r="C613" s="15"/>
      <c r="D613" s="16" t="s">
        <v>49</v>
      </c>
      <c r="E613" s="17">
        <v>14000</v>
      </c>
      <c r="F613" s="13">
        <v>90</v>
      </c>
      <c r="G613" s="13">
        <v>820</v>
      </c>
      <c r="H613" s="19">
        <v>230000</v>
      </c>
      <c r="I613" s="19">
        <v>30000</v>
      </c>
      <c r="J613" s="20" t="s">
        <v>33</v>
      </c>
      <c r="K613" s="13">
        <v>34</v>
      </c>
      <c r="L613" s="21" t="s">
        <v>41</v>
      </c>
      <c r="M613" s="21" t="s">
        <v>39</v>
      </c>
      <c r="N613" s="16" t="s">
        <v>36</v>
      </c>
      <c r="O613" t="str">
        <f>IF(TRIM(J613)="","NULL",IFERROR(VLOOKUP(TRIM(J613),Lookup_PropertyType!$A:$B,2,FALSE()),"other"))</f>
        <v>apartment</v>
      </c>
      <c r="P613">
        <f t="shared" si="9"/>
        <v>0</v>
      </c>
    </row>
    <row r="614" spans="1:16" ht="15.75" customHeight="1" x14ac:dyDescent="0.35">
      <c r="A614" s="13">
        <v>613</v>
      </c>
      <c r="B614" s="14">
        <v>45886</v>
      </c>
      <c r="C614" s="15"/>
      <c r="D614" s="16" t="s">
        <v>32</v>
      </c>
      <c r="E614" s="17">
        <v>6000</v>
      </c>
      <c r="F614" s="13">
        <v>180</v>
      </c>
      <c r="G614" s="13">
        <v>676</v>
      </c>
      <c r="H614" s="19">
        <v>200000</v>
      </c>
      <c r="I614" s="19">
        <v>30000</v>
      </c>
      <c r="J614" s="20" t="s">
        <v>33</v>
      </c>
      <c r="K614" s="13">
        <v>39</v>
      </c>
      <c r="L614" s="21" t="s">
        <v>45</v>
      </c>
      <c r="M614" s="21" t="s">
        <v>39</v>
      </c>
      <c r="N614" s="16" t="s">
        <v>50</v>
      </c>
      <c r="O614" t="str">
        <f>IF(TRIM(J614)="","NULL",IFERROR(VLOOKUP(TRIM(J614),Lookup_PropertyType!$A:$B,2,FALSE()),"other"))</f>
        <v>apartment</v>
      </c>
      <c r="P614">
        <f t="shared" si="9"/>
        <v>0</v>
      </c>
    </row>
    <row r="615" spans="1:16" ht="15.75" customHeight="1" x14ac:dyDescent="0.35">
      <c r="A615" s="13">
        <v>614</v>
      </c>
      <c r="B615" s="14">
        <v>45872</v>
      </c>
      <c r="C615" s="15"/>
      <c r="D615" s="16" t="s">
        <v>76</v>
      </c>
      <c r="E615" s="17">
        <v>12750</v>
      </c>
      <c r="F615" s="13">
        <v>180</v>
      </c>
      <c r="G615" s="13">
        <v>533</v>
      </c>
      <c r="H615" s="19">
        <v>400000</v>
      </c>
      <c r="I615" s="19">
        <v>200000</v>
      </c>
      <c r="J615" s="20" t="s">
        <v>33</v>
      </c>
      <c r="K615" s="13">
        <v>55</v>
      </c>
      <c r="L615" s="21" t="s">
        <v>38</v>
      </c>
      <c r="M615" s="21" t="s">
        <v>39</v>
      </c>
      <c r="N615" s="16" t="s">
        <v>42</v>
      </c>
      <c r="O615" t="str">
        <f>IF(TRIM(J615)="","NULL",IFERROR(VLOOKUP(TRIM(J615),Lookup_PropertyType!$A:$B,2,FALSE()),"other"))</f>
        <v>apartment</v>
      </c>
      <c r="P615">
        <f t="shared" si="9"/>
        <v>0</v>
      </c>
    </row>
    <row r="616" spans="1:16" ht="15.75" customHeight="1" x14ac:dyDescent="0.35">
      <c r="A616" s="13">
        <v>615</v>
      </c>
      <c r="B616" s="14">
        <v>45991</v>
      </c>
      <c r="C616" s="15"/>
      <c r="D616" s="16" t="s">
        <v>83</v>
      </c>
      <c r="E616" s="17">
        <v>17000</v>
      </c>
      <c r="F616" s="13">
        <v>180</v>
      </c>
      <c r="G616" s="13">
        <v>334</v>
      </c>
      <c r="H616" s="19">
        <v>220000</v>
      </c>
      <c r="I616" s="19">
        <v>70000</v>
      </c>
      <c r="J616" s="20" t="s">
        <v>37</v>
      </c>
      <c r="K616" s="13">
        <v>52</v>
      </c>
      <c r="L616" s="21" t="s">
        <v>38</v>
      </c>
      <c r="M616" s="21" t="s">
        <v>39</v>
      </c>
      <c r="N616" s="16" t="s">
        <v>40</v>
      </c>
      <c r="O616" t="str">
        <f>IF(TRIM(J616)="","NULL",IFERROR(VLOOKUP(TRIM(J616),Lookup_PropertyType!$A:$B,2,FALSE()),"other"))</f>
        <v>house</v>
      </c>
      <c r="P616">
        <f t="shared" si="9"/>
        <v>0</v>
      </c>
    </row>
    <row r="617" spans="1:16" ht="15.75" customHeight="1" x14ac:dyDescent="0.35">
      <c r="A617" s="13">
        <v>616</v>
      </c>
      <c r="B617" s="14">
        <v>45862</v>
      </c>
      <c r="C617" s="15"/>
      <c r="D617" s="16" t="s">
        <v>32</v>
      </c>
      <c r="E617" s="17">
        <v>25000</v>
      </c>
      <c r="F617" s="13">
        <v>180</v>
      </c>
      <c r="G617" s="13">
        <v>995</v>
      </c>
      <c r="H617" s="19">
        <v>300000</v>
      </c>
      <c r="I617" s="19">
        <v>80000</v>
      </c>
      <c r="J617" s="20" t="s">
        <v>37</v>
      </c>
      <c r="K617" s="13">
        <v>47</v>
      </c>
      <c r="L617" s="21" t="s">
        <v>45</v>
      </c>
      <c r="M617" s="21" t="s">
        <v>39</v>
      </c>
      <c r="N617" s="16" t="s">
        <v>36</v>
      </c>
      <c r="O617" t="str">
        <f>IF(TRIM(J617)="","NULL",IFERROR(VLOOKUP(TRIM(J617),Lookup_PropertyType!$A:$B,2,FALSE()),"other"))</f>
        <v>house</v>
      </c>
      <c r="P617">
        <f t="shared" si="9"/>
        <v>0</v>
      </c>
    </row>
    <row r="618" spans="1:16" ht="15.75" customHeight="1" x14ac:dyDescent="0.35">
      <c r="A618" s="13">
        <v>617</v>
      </c>
      <c r="B618" s="14">
        <v>45870</v>
      </c>
      <c r="C618" s="14">
        <v>45947</v>
      </c>
      <c r="D618" s="16" t="s">
        <v>58</v>
      </c>
      <c r="E618" s="17">
        <v>7800</v>
      </c>
      <c r="F618" s="13">
        <v>180</v>
      </c>
      <c r="G618" s="13">
        <v>446</v>
      </c>
      <c r="H618" s="19">
        <v>550000</v>
      </c>
      <c r="I618" s="19">
        <v>150000</v>
      </c>
      <c r="J618" s="20" t="s">
        <v>33</v>
      </c>
      <c r="K618" s="13">
        <v>50</v>
      </c>
      <c r="L618" s="21" t="s">
        <v>38</v>
      </c>
      <c r="M618" s="21" t="s">
        <v>39</v>
      </c>
      <c r="N618" s="16" t="s">
        <v>50</v>
      </c>
      <c r="O618" t="str">
        <f>IF(TRIM(J618)="","NULL",IFERROR(VLOOKUP(TRIM(J618),Lookup_PropertyType!$A:$B,2,FALSE()),"other"))</f>
        <v>apartment</v>
      </c>
      <c r="P618">
        <f t="shared" si="9"/>
        <v>1</v>
      </c>
    </row>
    <row r="619" spans="1:16" ht="15.75" customHeight="1" x14ac:dyDescent="0.35">
      <c r="A619" s="13">
        <v>618</v>
      </c>
      <c r="B619" s="14">
        <v>45950</v>
      </c>
      <c r="C619" s="15"/>
      <c r="D619" s="16" t="s">
        <v>49</v>
      </c>
      <c r="E619" s="17">
        <v>4000</v>
      </c>
      <c r="F619" s="13">
        <v>180</v>
      </c>
      <c r="G619" s="13">
        <v>256</v>
      </c>
      <c r="H619" s="19">
        <v>500000</v>
      </c>
      <c r="I619" s="19">
        <v>30000</v>
      </c>
      <c r="J619" s="20" t="s">
        <v>33</v>
      </c>
      <c r="K619" s="13">
        <v>75</v>
      </c>
      <c r="L619" s="21" t="s">
        <v>41</v>
      </c>
      <c r="M619" s="21" t="s">
        <v>54</v>
      </c>
      <c r="N619" s="16" t="s">
        <v>43</v>
      </c>
      <c r="O619" t="str">
        <f>IF(TRIM(J619)="","NULL",IFERROR(VLOOKUP(TRIM(J619),Lookup_PropertyType!$A:$B,2,FALSE()),"other"))</f>
        <v>apartment</v>
      </c>
      <c r="P619">
        <f t="shared" si="9"/>
        <v>0</v>
      </c>
    </row>
    <row r="620" spans="1:16" ht="15.75" customHeight="1" x14ac:dyDescent="0.35">
      <c r="A620" s="13">
        <v>619</v>
      </c>
      <c r="B620" s="14">
        <v>45985</v>
      </c>
      <c r="C620" s="15"/>
      <c r="D620" s="16" t="s">
        <v>32</v>
      </c>
      <c r="E620" s="17">
        <v>5800</v>
      </c>
      <c r="F620" s="13">
        <v>180</v>
      </c>
      <c r="G620" s="13">
        <v>414</v>
      </c>
      <c r="H620" s="19">
        <v>480000</v>
      </c>
      <c r="I620" s="19">
        <v>110000</v>
      </c>
      <c r="J620" s="20" t="s">
        <v>37</v>
      </c>
      <c r="K620" s="13">
        <v>38</v>
      </c>
      <c r="L620" s="21" t="s">
        <v>59</v>
      </c>
      <c r="M620" s="21" t="s">
        <v>39</v>
      </c>
      <c r="N620" s="16" t="s">
        <v>42</v>
      </c>
      <c r="O620" t="str">
        <f>IF(TRIM(J620)="","NULL",IFERROR(VLOOKUP(TRIM(J620),Lookup_PropertyType!$A:$B,2,FALSE()),"other"))</f>
        <v>house</v>
      </c>
      <c r="P620">
        <f t="shared" si="9"/>
        <v>0</v>
      </c>
    </row>
    <row r="621" spans="1:16" ht="15.75" customHeight="1" x14ac:dyDescent="0.35">
      <c r="A621" s="13">
        <v>620</v>
      </c>
      <c r="B621" s="14">
        <v>45873</v>
      </c>
      <c r="C621" s="15"/>
      <c r="D621" s="16" t="s">
        <v>32</v>
      </c>
      <c r="E621" s="17">
        <v>25000</v>
      </c>
      <c r="F621" s="13">
        <v>180</v>
      </c>
      <c r="G621" s="13">
        <v>415</v>
      </c>
      <c r="H621" s="19">
        <v>500000</v>
      </c>
      <c r="I621" s="19">
        <v>200000</v>
      </c>
      <c r="J621" s="20" t="s">
        <v>33</v>
      </c>
      <c r="K621" s="13">
        <v>53</v>
      </c>
      <c r="L621" s="21" t="s">
        <v>38</v>
      </c>
      <c r="M621" s="21" t="s">
        <v>54</v>
      </c>
      <c r="N621" s="16" t="s">
        <v>42</v>
      </c>
      <c r="O621" t="str">
        <f>IF(TRIM(J621)="","NULL",IFERROR(VLOOKUP(TRIM(J621),Lookup_PropertyType!$A:$B,2,FALSE()),"other"))</f>
        <v>apartment</v>
      </c>
      <c r="P621">
        <f t="shared" si="9"/>
        <v>0</v>
      </c>
    </row>
    <row r="622" spans="1:16" ht="15.75" customHeight="1" x14ac:dyDescent="0.35">
      <c r="A622" s="13">
        <v>621</v>
      </c>
      <c r="B622" s="14">
        <v>45865</v>
      </c>
      <c r="C622" s="15"/>
      <c r="D622" s="16" t="s">
        <v>32</v>
      </c>
      <c r="E622" s="17">
        <v>25000</v>
      </c>
      <c r="F622" s="18"/>
      <c r="G622" s="18"/>
      <c r="H622" s="19">
        <v>750000</v>
      </c>
      <c r="I622" s="19">
        <v>400000</v>
      </c>
      <c r="J622" s="20" t="s">
        <v>33</v>
      </c>
      <c r="K622" s="13">
        <v>44</v>
      </c>
      <c r="L622" s="21" t="s">
        <v>41</v>
      </c>
      <c r="M622" s="21" t="s">
        <v>39</v>
      </c>
      <c r="N622" s="16" t="s">
        <v>36</v>
      </c>
      <c r="O622" t="str">
        <f>IF(TRIM(J622)="","NULL",IFERROR(VLOOKUP(TRIM(J622),Lookup_PropertyType!$A:$B,2,FALSE()),"other"))</f>
        <v>apartment</v>
      </c>
      <c r="P622">
        <f t="shared" si="9"/>
        <v>0</v>
      </c>
    </row>
    <row r="623" spans="1:16" ht="15.75" customHeight="1" x14ac:dyDescent="0.35">
      <c r="A623" s="13">
        <v>622</v>
      </c>
      <c r="B623" s="14">
        <v>45864</v>
      </c>
      <c r="C623" s="15"/>
      <c r="D623" s="16" t="s">
        <v>32</v>
      </c>
      <c r="E623" s="17">
        <v>60000</v>
      </c>
      <c r="F623" s="13">
        <v>120</v>
      </c>
      <c r="G623" s="13">
        <v>678</v>
      </c>
      <c r="H623" s="19">
        <v>1300000</v>
      </c>
      <c r="I623" s="19">
        <v>1471045</v>
      </c>
      <c r="J623" s="20" t="s">
        <v>33</v>
      </c>
      <c r="K623" s="13">
        <v>45</v>
      </c>
      <c r="L623" s="21" t="s">
        <v>41</v>
      </c>
      <c r="M623" s="21" t="s">
        <v>39</v>
      </c>
      <c r="N623" s="16" t="s">
        <v>36</v>
      </c>
      <c r="O623" t="str">
        <f>IF(TRIM(J623)="","NULL",IFERROR(VLOOKUP(TRIM(J623),Lookup_PropertyType!$A:$B,2,FALSE()),"other"))</f>
        <v>apartment</v>
      </c>
      <c r="P623">
        <f t="shared" si="9"/>
        <v>0</v>
      </c>
    </row>
    <row r="624" spans="1:16" ht="15.75" customHeight="1" x14ac:dyDescent="0.35">
      <c r="A624" s="13">
        <v>623</v>
      </c>
      <c r="B624" s="14">
        <v>45870</v>
      </c>
      <c r="C624" s="15"/>
      <c r="D624" s="16" t="s">
        <v>84</v>
      </c>
      <c r="E624" s="17">
        <v>18000</v>
      </c>
      <c r="F624" s="13">
        <v>180</v>
      </c>
      <c r="G624" s="13">
        <v>237</v>
      </c>
      <c r="H624" s="19">
        <v>850000</v>
      </c>
      <c r="I624" s="19">
        <v>30000</v>
      </c>
      <c r="J624" s="20" t="s">
        <v>37</v>
      </c>
      <c r="K624" s="13">
        <v>56</v>
      </c>
      <c r="L624" s="21" t="s">
        <v>38</v>
      </c>
      <c r="M624" s="21" t="s">
        <v>72</v>
      </c>
      <c r="N624" s="16" t="s">
        <v>50</v>
      </c>
      <c r="O624" t="str">
        <f>IF(TRIM(J624)="","NULL",IFERROR(VLOOKUP(TRIM(J624),Lookup_PropertyType!$A:$B,2,FALSE()),"other"))</f>
        <v>house</v>
      </c>
      <c r="P624">
        <f t="shared" si="9"/>
        <v>0</v>
      </c>
    </row>
    <row r="625" spans="1:16" ht="15.75" customHeight="1" x14ac:dyDescent="0.35">
      <c r="A625" s="13">
        <v>624</v>
      </c>
      <c r="B625" s="14">
        <v>45864</v>
      </c>
      <c r="C625" s="15"/>
      <c r="D625" s="16" t="s">
        <v>32</v>
      </c>
      <c r="E625" s="17">
        <v>16500</v>
      </c>
      <c r="F625" s="13">
        <v>150</v>
      </c>
      <c r="G625" s="13">
        <v>654</v>
      </c>
      <c r="H625" s="19">
        <v>700000</v>
      </c>
      <c r="I625" s="19">
        <v>280000</v>
      </c>
      <c r="J625" s="20" t="s">
        <v>33</v>
      </c>
      <c r="K625" s="13">
        <v>53</v>
      </c>
      <c r="L625" s="21" t="s">
        <v>45</v>
      </c>
      <c r="M625" s="21" t="s">
        <v>39</v>
      </c>
      <c r="N625" s="16" t="s">
        <v>42</v>
      </c>
      <c r="O625" t="str">
        <f>IF(TRIM(J625)="","NULL",IFERROR(VLOOKUP(TRIM(J625),Lookup_PropertyType!$A:$B,2,FALSE()),"other"))</f>
        <v>apartment</v>
      </c>
      <c r="P625">
        <f t="shared" si="9"/>
        <v>0</v>
      </c>
    </row>
    <row r="626" spans="1:16" ht="15.75" customHeight="1" x14ac:dyDescent="0.35">
      <c r="A626" s="13">
        <v>625</v>
      </c>
      <c r="B626" s="14">
        <v>45956</v>
      </c>
      <c r="C626" s="14">
        <v>46002</v>
      </c>
      <c r="D626" s="16" t="s">
        <v>61</v>
      </c>
      <c r="E626" s="17">
        <v>7000</v>
      </c>
      <c r="F626" s="13">
        <v>180</v>
      </c>
      <c r="G626" s="13">
        <v>877</v>
      </c>
      <c r="H626" s="19">
        <v>385000</v>
      </c>
      <c r="I626" s="19">
        <v>80000</v>
      </c>
      <c r="J626" s="20" t="s">
        <v>33</v>
      </c>
      <c r="K626" s="13">
        <v>49</v>
      </c>
      <c r="L626" s="21" t="s">
        <v>34</v>
      </c>
      <c r="M626" s="21" t="s">
        <v>39</v>
      </c>
      <c r="N626" s="16" t="s">
        <v>42</v>
      </c>
      <c r="O626" t="str">
        <f>IF(TRIM(J626)="","NULL",IFERROR(VLOOKUP(TRIM(J626),Lookup_PropertyType!$A:$B,2,FALSE()),"other"))</f>
        <v>apartment</v>
      </c>
      <c r="P626">
        <f t="shared" si="9"/>
        <v>1</v>
      </c>
    </row>
    <row r="627" spans="1:16" ht="15.75" customHeight="1" x14ac:dyDescent="0.35">
      <c r="A627" s="13">
        <v>626</v>
      </c>
      <c r="B627" s="14">
        <v>45865</v>
      </c>
      <c r="C627" s="15"/>
      <c r="D627" s="16" t="s">
        <v>32</v>
      </c>
      <c r="E627" s="17">
        <v>13000</v>
      </c>
      <c r="F627" s="13">
        <v>90</v>
      </c>
      <c r="G627" s="13">
        <v>833</v>
      </c>
      <c r="H627" s="19">
        <v>600000</v>
      </c>
      <c r="I627" s="19">
        <v>300000</v>
      </c>
      <c r="J627" s="20" t="s">
        <v>37</v>
      </c>
      <c r="K627" s="13">
        <v>72</v>
      </c>
      <c r="L627" s="21" t="s">
        <v>41</v>
      </c>
      <c r="M627" s="21" t="s">
        <v>67</v>
      </c>
      <c r="N627" s="16" t="s">
        <v>36</v>
      </c>
      <c r="O627" t="str">
        <f>IF(TRIM(J627)="","NULL",IFERROR(VLOOKUP(TRIM(J627),Lookup_PropertyType!$A:$B,2,FALSE()),"other"))</f>
        <v>house</v>
      </c>
      <c r="P627">
        <f t="shared" si="9"/>
        <v>0</v>
      </c>
    </row>
    <row r="628" spans="1:16" ht="15.75" customHeight="1" x14ac:dyDescent="0.35">
      <c r="A628" s="13">
        <v>627</v>
      </c>
      <c r="B628" s="14">
        <v>45862</v>
      </c>
      <c r="C628" s="14">
        <v>45900</v>
      </c>
      <c r="D628" s="16" t="s">
        <v>32</v>
      </c>
      <c r="E628" s="17">
        <v>10000</v>
      </c>
      <c r="F628" s="13">
        <v>120</v>
      </c>
      <c r="G628" s="13">
        <v>303</v>
      </c>
      <c r="H628" s="19">
        <v>800000</v>
      </c>
      <c r="I628" s="19">
        <v>60000</v>
      </c>
      <c r="J628" s="20" t="s">
        <v>37</v>
      </c>
      <c r="K628" s="13">
        <v>54</v>
      </c>
      <c r="L628" s="21" t="s">
        <v>59</v>
      </c>
      <c r="M628" s="21" t="s">
        <v>39</v>
      </c>
      <c r="N628" s="16" t="s">
        <v>50</v>
      </c>
      <c r="O628" t="str">
        <f>IF(TRIM(J628)="","NULL",IFERROR(VLOOKUP(TRIM(J628),Lookup_PropertyType!$A:$B,2,FALSE()),"other"))</f>
        <v>house</v>
      </c>
      <c r="P628">
        <f t="shared" si="9"/>
        <v>1</v>
      </c>
    </row>
    <row r="629" spans="1:16" ht="15.75" customHeight="1" x14ac:dyDescent="0.35">
      <c r="A629" s="13">
        <v>628</v>
      </c>
      <c r="B629" s="14">
        <v>45865</v>
      </c>
      <c r="C629" s="14">
        <v>45922</v>
      </c>
      <c r="D629" s="16" t="s">
        <v>32</v>
      </c>
      <c r="E629" s="17">
        <v>8152</v>
      </c>
      <c r="F629" s="13">
        <v>180</v>
      </c>
      <c r="G629" s="13">
        <v>956</v>
      </c>
      <c r="H629" s="19">
        <v>650000</v>
      </c>
      <c r="I629" s="19">
        <v>110000</v>
      </c>
      <c r="J629" s="20" t="s">
        <v>33</v>
      </c>
      <c r="K629" s="13">
        <v>59</v>
      </c>
      <c r="L629" s="21" t="s">
        <v>59</v>
      </c>
      <c r="M629" s="21" t="s">
        <v>39</v>
      </c>
      <c r="N629" s="16" t="s">
        <v>48</v>
      </c>
      <c r="O629" t="str">
        <f>IF(TRIM(J629)="","NULL",IFERROR(VLOOKUP(TRIM(J629),Lookup_PropertyType!$A:$B,2,FALSE()),"other"))</f>
        <v>apartment</v>
      </c>
      <c r="P629">
        <f t="shared" si="9"/>
        <v>1</v>
      </c>
    </row>
    <row r="630" spans="1:16" ht="15.75" customHeight="1" x14ac:dyDescent="0.35">
      <c r="A630" s="13">
        <v>629</v>
      </c>
      <c r="B630" s="14">
        <v>45885</v>
      </c>
      <c r="C630" s="15"/>
      <c r="D630" s="16" t="s">
        <v>32</v>
      </c>
      <c r="E630" s="17">
        <v>8550</v>
      </c>
      <c r="F630" s="13">
        <v>180</v>
      </c>
      <c r="G630" s="13">
        <v>234</v>
      </c>
      <c r="H630" s="19">
        <v>300000</v>
      </c>
      <c r="I630" s="19">
        <v>80000</v>
      </c>
      <c r="J630" s="20" t="s">
        <v>37</v>
      </c>
      <c r="K630" s="13">
        <v>33</v>
      </c>
      <c r="L630" s="21" t="s">
        <v>41</v>
      </c>
      <c r="M630" s="21" t="s">
        <v>39</v>
      </c>
      <c r="N630" s="16" t="s">
        <v>42</v>
      </c>
      <c r="O630" t="str">
        <f>IF(TRIM(J630)="","NULL",IFERROR(VLOOKUP(TRIM(J630),Lookup_PropertyType!$A:$B,2,FALSE()),"other"))</f>
        <v>house</v>
      </c>
      <c r="P630">
        <f t="shared" si="9"/>
        <v>0</v>
      </c>
    </row>
    <row r="631" spans="1:16" ht="15.75" customHeight="1" x14ac:dyDescent="0.35">
      <c r="A631" s="13">
        <v>630</v>
      </c>
      <c r="B631" s="14">
        <v>45865</v>
      </c>
      <c r="C631" s="15"/>
      <c r="D631" s="16" t="s">
        <v>32</v>
      </c>
      <c r="E631" s="17">
        <v>15000</v>
      </c>
      <c r="F631" s="13">
        <v>90</v>
      </c>
      <c r="G631" s="13">
        <v>455</v>
      </c>
      <c r="H631" s="19">
        <v>450000</v>
      </c>
      <c r="I631" s="19">
        <v>100000</v>
      </c>
      <c r="J631" s="20" t="s">
        <v>33</v>
      </c>
      <c r="K631" s="13">
        <v>44</v>
      </c>
      <c r="L631" s="21" t="s">
        <v>41</v>
      </c>
      <c r="M631" s="21" t="s">
        <v>54</v>
      </c>
      <c r="N631" s="16" t="s">
        <v>36</v>
      </c>
      <c r="O631" t="str">
        <f>IF(TRIM(J631)="","NULL",IFERROR(VLOOKUP(TRIM(J631),Lookup_PropertyType!$A:$B,2,FALSE()),"other"))</f>
        <v>apartment</v>
      </c>
      <c r="P631">
        <f t="shared" si="9"/>
        <v>0</v>
      </c>
    </row>
    <row r="632" spans="1:16" ht="15.75" customHeight="1" x14ac:dyDescent="0.35">
      <c r="A632" s="13">
        <v>631</v>
      </c>
      <c r="B632" s="14">
        <v>45865</v>
      </c>
      <c r="C632" s="15"/>
      <c r="D632" s="16" t="s">
        <v>44</v>
      </c>
      <c r="E632" s="17">
        <v>25000</v>
      </c>
      <c r="F632" s="13">
        <v>180</v>
      </c>
      <c r="G632" s="13">
        <v>441</v>
      </c>
      <c r="H632" s="19">
        <v>1200000</v>
      </c>
      <c r="I632" s="19">
        <v>400000</v>
      </c>
      <c r="J632" s="20" t="s">
        <v>37</v>
      </c>
      <c r="K632" s="13">
        <v>51</v>
      </c>
      <c r="L632" s="21" t="s">
        <v>41</v>
      </c>
      <c r="M632" s="21" t="s">
        <v>39</v>
      </c>
      <c r="N632" s="16" t="s">
        <v>36</v>
      </c>
      <c r="O632" t="str">
        <f>IF(TRIM(J632)="","NULL",IFERROR(VLOOKUP(TRIM(J632),Lookup_PropertyType!$A:$B,2,FALSE()),"other"))</f>
        <v>house</v>
      </c>
      <c r="P632">
        <f t="shared" si="9"/>
        <v>0</v>
      </c>
    </row>
    <row r="633" spans="1:16" ht="15.75" customHeight="1" x14ac:dyDescent="0.35">
      <c r="A633" s="13">
        <v>632</v>
      </c>
      <c r="B633" s="14">
        <v>45876</v>
      </c>
      <c r="C633" s="15"/>
      <c r="D633" s="16" t="s">
        <v>32</v>
      </c>
      <c r="E633" s="17">
        <v>4089</v>
      </c>
      <c r="F633" s="13">
        <v>180</v>
      </c>
      <c r="G633" s="13">
        <v>787</v>
      </c>
      <c r="H633" s="19">
        <v>200000</v>
      </c>
      <c r="I633" s="19">
        <v>80000</v>
      </c>
      <c r="J633" s="20" t="s">
        <v>33</v>
      </c>
      <c r="K633" s="13">
        <v>33</v>
      </c>
      <c r="L633" s="21" t="s">
        <v>38</v>
      </c>
      <c r="M633" s="21" t="s">
        <v>39</v>
      </c>
      <c r="N633" s="16" t="s">
        <v>42</v>
      </c>
      <c r="O633" t="str">
        <f>IF(TRIM(J633)="","NULL",IFERROR(VLOOKUP(TRIM(J633),Lookup_PropertyType!$A:$B,2,FALSE()),"other"))</f>
        <v>apartment</v>
      </c>
      <c r="P633">
        <f t="shared" si="9"/>
        <v>0</v>
      </c>
    </row>
    <row r="634" spans="1:16" ht="15.75" customHeight="1" x14ac:dyDescent="0.35">
      <c r="A634" s="13">
        <v>633</v>
      </c>
      <c r="B634" s="14">
        <v>45865</v>
      </c>
      <c r="C634" s="15"/>
      <c r="D634" s="16" t="s">
        <v>58</v>
      </c>
      <c r="E634" s="17">
        <v>30000</v>
      </c>
      <c r="F634" s="13">
        <v>90</v>
      </c>
      <c r="G634" s="13">
        <v>448</v>
      </c>
      <c r="H634" s="19">
        <v>1500000</v>
      </c>
      <c r="I634" s="19">
        <v>700000</v>
      </c>
      <c r="J634" s="20" t="s">
        <v>33</v>
      </c>
      <c r="K634" s="13">
        <v>39</v>
      </c>
      <c r="L634" s="21" t="s">
        <v>41</v>
      </c>
      <c r="M634" s="21" t="s">
        <v>39</v>
      </c>
      <c r="N634" s="16" t="s">
        <v>36</v>
      </c>
      <c r="O634" t="str">
        <f>IF(TRIM(J634)="","NULL",IFERROR(VLOOKUP(TRIM(J634),Lookup_PropertyType!$A:$B,2,FALSE()),"other"))</f>
        <v>apartment</v>
      </c>
      <c r="P634">
        <f t="shared" si="9"/>
        <v>0</v>
      </c>
    </row>
    <row r="635" spans="1:16" ht="15.75" customHeight="1" x14ac:dyDescent="0.35">
      <c r="A635" s="13">
        <v>634</v>
      </c>
      <c r="B635" s="14">
        <v>45876</v>
      </c>
      <c r="C635" s="15"/>
      <c r="D635" s="16" t="s">
        <v>32</v>
      </c>
      <c r="E635" s="17">
        <v>4800</v>
      </c>
      <c r="F635" s="13">
        <v>180</v>
      </c>
      <c r="G635" s="13">
        <v>416</v>
      </c>
      <c r="H635" s="19">
        <v>300000</v>
      </c>
      <c r="I635" s="19">
        <v>45000</v>
      </c>
      <c r="J635" s="20" t="s">
        <v>37</v>
      </c>
      <c r="K635" s="13">
        <v>34</v>
      </c>
      <c r="L635" s="21" t="s">
        <v>59</v>
      </c>
      <c r="M635" s="21" t="s">
        <v>54</v>
      </c>
      <c r="N635" s="16" t="s">
        <v>42</v>
      </c>
      <c r="O635" t="str">
        <f>IF(TRIM(J635)="","NULL",IFERROR(VLOOKUP(TRIM(J635),Lookup_PropertyType!$A:$B,2,FALSE()),"other"))</f>
        <v>house</v>
      </c>
      <c r="P635">
        <f t="shared" si="9"/>
        <v>0</v>
      </c>
    </row>
    <row r="636" spans="1:16" ht="15.75" customHeight="1" x14ac:dyDescent="0.35">
      <c r="A636" s="13">
        <v>635</v>
      </c>
      <c r="B636" s="14">
        <v>45865</v>
      </c>
      <c r="C636" s="15"/>
      <c r="D636" s="16" t="s">
        <v>32</v>
      </c>
      <c r="E636" s="17">
        <v>15000</v>
      </c>
      <c r="F636" s="13">
        <v>180</v>
      </c>
      <c r="G636" s="13">
        <v>906</v>
      </c>
      <c r="H636" s="19">
        <v>300000</v>
      </c>
      <c r="I636" s="19">
        <v>150000</v>
      </c>
      <c r="J636" s="20" t="s">
        <v>37</v>
      </c>
      <c r="K636" s="13">
        <v>55</v>
      </c>
      <c r="L636" s="21" t="s">
        <v>38</v>
      </c>
      <c r="M636" s="21" t="s">
        <v>39</v>
      </c>
      <c r="N636" s="16" t="s">
        <v>51</v>
      </c>
      <c r="O636" t="str">
        <f>IF(TRIM(J636)="","NULL",IFERROR(VLOOKUP(TRIM(J636),Lookup_PropertyType!$A:$B,2,FALSE()),"other"))</f>
        <v>house</v>
      </c>
      <c r="P636">
        <f t="shared" si="9"/>
        <v>0</v>
      </c>
    </row>
    <row r="637" spans="1:16" ht="15.75" customHeight="1" x14ac:dyDescent="0.35">
      <c r="A637" s="13">
        <v>636</v>
      </c>
      <c r="B637" s="14">
        <v>45870</v>
      </c>
      <c r="C637" s="15"/>
      <c r="D637" s="16" t="s">
        <v>32</v>
      </c>
      <c r="E637" s="17">
        <v>18400</v>
      </c>
      <c r="F637" s="13">
        <v>180</v>
      </c>
      <c r="G637" s="13">
        <v>827</v>
      </c>
      <c r="H637" s="19">
        <v>440000</v>
      </c>
      <c r="I637" s="19">
        <v>200000</v>
      </c>
      <c r="J637" s="20" t="s">
        <v>33</v>
      </c>
      <c r="K637" s="13">
        <v>57</v>
      </c>
      <c r="L637" s="21" t="s">
        <v>41</v>
      </c>
      <c r="M637" s="21" t="s">
        <v>39</v>
      </c>
      <c r="N637" s="16" t="s">
        <v>36</v>
      </c>
      <c r="O637" t="str">
        <f>IF(TRIM(J637)="","NULL",IFERROR(VLOOKUP(TRIM(J637),Lookup_PropertyType!$A:$B,2,FALSE()),"other"))</f>
        <v>apartment</v>
      </c>
      <c r="P637">
        <f t="shared" si="9"/>
        <v>0</v>
      </c>
    </row>
    <row r="638" spans="1:16" ht="15.75" customHeight="1" x14ac:dyDescent="0.35">
      <c r="A638" s="13">
        <v>637</v>
      </c>
      <c r="B638" s="14">
        <v>45892</v>
      </c>
      <c r="C638" s="14">
        <v>46011</v>
      </c>
      <c r="D638" s="16" t="s">
        <v>32</v>
      </c>
      <c r="E638" s="17">
        <v>10000</v>
      </c>
      <c r="F638" s="13">
        <v>180</v>
      </c>
      <c r="G638" s="13">
        <v>930</v>
      </c>
      <c r="H638" s="19">
        <v>800000</v>
      </c>
      <c r="I638" s="19">
        <v>150000</v>
      </c>
      <c r="J638" s="20" t="s">
        <v>33</v>
      </c>
      <c r="K638" s="13">
        <v>47</v>
      </c>
      <c r="L638" s="21" t="s">
        <v>34</v>
      </c>
      <c r="M638" s="21" t="s">
        <v>39</v>
      </c>
      <c r="N638" s="16" t="s">
        <v>50</v>
      </c>
      <c r="O638" t="str">
        <f>IF(TRIM(J638)="","NULL",IFERROR(VLOOKUP(TRIM(J638),Lookup_PropertyType!$A:$B,2,FALSE()),"other"))</f>
        <v>apartment</v>
      </c>
      <c r="P638">
        <f t="shared" si="9"/>
        <v>1</v>
      </c>
    </row>
    <row r="639" spans="1:16" ht="15.75" customHeight="1" x14ac:dyDescent="0.35">
      <c r="A639" s="13">
        <v>638</v>
      </c>
      <c r="B639" s="14">
        <v>45899</v>
      </c>
      <c r="C639" s="14">
        <v>45922</v>
      </c>
      <c r="D639" s="16" t="s">
        <v>32</v>
      </c>
      <c r="E639" s="17">
        <v>10000</v>
      </c>
      <c r="F639" s="13">
        <v>150</v>
      </c>
      <c r="G639" s="13">
        <v>285</v>
      </c>
      <c r="H639" s="19">
        <v>300000</v>
      </c>
      <c r="I639" s="19">
        <v>130000</v>
      </c>
      <c r="J639" s="20" t="s">
        <v>33</v>
      </c>
      <c r="K639" s="13">
        <v>72</v>
      </c>
      <c r="L639" s="21" t="s">
        <v>38</v>
      </c>
      <c r="M639" s="21" t="s">
        <v>67</v>
      </c>
      <c r="N639" s="16" t="s">
        <v>43</v>
      </c>
      <c r="O639" t="str">
        <f>IF(TRIM(J639)="","NULL",IFERROR(VLOOKUP(TRIM(J639),Lookup_PropertyType!$A:$B,2,FALSE()),"other"))</f>
        <v>apartment</v>
      </c>
      <c r="P639">
        <f t="shared" si="9"/>
        <v>1</v>
      </c>
    </row>
    <row r="640" spans="1:16" ht="15.75" customHeight="1" x14ac:dyDescent="0.35">
      <c r="A640" s="13">
        <v>639</v>
      </c>
      <c r="B640" s="14">
        <v>45870</v>
      </c>
      <c r="C640" s="14">
        <v>45926</v>
      </c>
      <c r="D640" s="16" t="s">
        <v>32</v>
      </c>
      <c r="E640" s="17">
        <v>10000</v>
      </c>
      <c r="F640" s="13">
        <v>180</v>
      </c>
      <c r="G640" s="13">
        <v>524</v>
      </c>
      <c r="H640" s="19">
        <v>550000</v>
      </c>
      <c r="I640" s="19">
        <v>110000</v>
      </c>
      <c r="J640" s="20" t="s">
        <v>33</v>
      </c>
      <c r="K640" s="13">
        <v>50</v>
      </c>
      <c r="L640" s="21" t="s">
        <v>34</v>
      </c>
      <c r="M640" s="21" t="s">
        <v>48</v>
      </c>
      <c r="N640" s="16" t="s">
        <v>42</v>
      </c>
      <c r="O640" t="str">
        <f>IF(TRIM(J640)="","NULL",IFERROR(VLOOKUP(TRIM(J640),Lookup_PropertyType!$A:$B,2,FALSE()),"other"))</f>
        <v>apartment</v>
      </c>
      <c r="P640">
        <f t="shared" si="9"/>
        <v>1</v>
      </c>
    </row>
    <row r="641" spans="1:16" ht="15.75" customHeight="1" x14ac:dyDescent="0.35">
      <c r="A641" s="13">
        <v>640</v>
      </c>
      <c r="B641" s="14">
        <v>45873</v>
      </c>
      <c r="C641" s="15"/>
      <c r="D641" s="16" t="s">
        <v>32</v>
      </c>
      <c r="E641" s="17">
        <v>9000</v>
      </c>
      <c r="F641" s="13">
        <v>180</v>
      </c>
      <c r="G641" s="13">
        <v>590</v>
      </c>
      <c r="H641" s="19">
        <v>300000</v>
      </c>
      <c r="I641" s="19">
        <v>60000</v>
      </c>
      <c r="J641" s="20" t="s">
        <v>33</v>
      </c>
      <c r="K641" s="13">
        <v>36</v>
      </c>
      <c r="L641" s="21" t="s">
        <v>45</v>
      </c>
      <c r="M641" s="21" t="s">
        <v>39</v>
      </c>
      <c r="N641" s="16" t="s">
        <v>42</v>
      </c>
      <c r="O641" t="str">
        <f>IF(TRIM(J641)="","NULL",IFERROR(VLOOKUP(TRIM(J641),Lookup_PropertyType!$A:$B,2,FALSE()),"other"))</f>
        <v>apartment</v>
      </c>
      <c r="P641">
        <f t="shared" si="9"/>
        <v>0</v>
      </c>
    </row>
    <row r="642" spans="1:16" ht="15.75" customHeight="1" x14ac:dyDescent="0.35">
      <c r="A642" s="13">
        <v>641</v>
      </c>
      <c r="B642" s="14">
        <v>45871</v>
      </c>
      <c r="C642" s="15"/>
      <c r="D642" s="16" t="s">
        <v>32</v>
      </c>
      <c r="E642" s="17">
        <v>14000</v>
      </c>
      <c r="F642" s="13">
        <v>180</v>
      </c>
      <c r="G642" s="13">
        <v>541</v>
      </c>
      <c r="H642" s="19">
        <v>1200000</v>
      </c>
      <c r="I642" s="19">
        <v>296470</v>
      </c>
      <c r="J642" s="20" t="s">
        <v>33</v>
      </c>
      <c r="K642" s="13">
        <v>56</v>
      </c>
      <c r="L642" s="21" t="s">
        <v>38</v>
      </c>
      <c r="M642" s="21" t="s">
        <v>39</v>
      </c>
      <c r="N642" s="16" t="s">
        <v>36</v>
      </c>
      <c r="O642" t="str">
        <f>IF(TRIM(J642)="","NULL",IFERROR(VLOOKUP(TRIM(J642),Lookup_PropertyType!$A:$B,2,FALSE()),"other"))</f>
        <v>apartment</v>
      </c>
      <c r="P642">
        <f t="shared" ref="P642:P705" si="10">IF(AND(C642&lt;&gt;"",C642&gt;=B642),1,0)</f>
        <v>0</v>
      </c>
    </row>
    <row r="643" spans="1:16" ht="15.75" customHeight="1" x14ac:dyDescent="0.35">
      <c r="A643" s="13">
        <v>642</v>
      </c>
      <c r="B643" s="14">
        <v>45876</v>
      </c>
      <c r="C643" s="15"/>
      <c r="D643" s="16" t="s">
        <v>32</v>
      </c>
      <c r="E643" s="17">
        <v>8000</v>
      </c>
      <c r="F643" s="13">
        <v>120</v>
      </c>
      <c r="G643" s="13">
        <v>318</v>
      </c>
      <c r="H643" s="19">
        <v>300000</v>
      </c>
      <c r="I643" s="19">
        <v>30000</v>
      </c>
      <c r="J643" s="20" t="s">
        <v>33</v>
      </c>
      <c r="K643" s="13">
        <v>26</v>
      </c>
      <c r="L643" s="21" t="s">
        <v>38</v>
      </c>
      <c r="M643" s="21" t="s">
        <v>67</v>
      </c>
      <c r="N643" s="16" t="s">
        <v>36</v>
      </c>
      <c r="O643" t="str">
        <f>IF(TRIM(J643)="","NULL",IFERROR(VLOOKUP(TRIM(J643),Lookup_PropertyType!$A:$B,2,FALSE()),"other"))</f>
        <v>apartment</v>
      </c>
      <c r="P643">
        <f t="shared" si="10"/>
        <v>0</v>
      </c>
    </row>
    <row r="644" spans="1:16" ht="15.75" customHeight="1" x14ac:dyDescent="0.35">
      <c r="A644" s="13">
        <v>643</v>
      </c>
      <c r="B644" s="14">
        <v>45873</v>
      </c>
      <c r="C644" s="15"/>
      <c r="D644" s="16" t="s">
        <v>32</v>
      </c>
      <c r="E644" s="17">
        <v>5000</v>
      </c>
      <c r="F644" s="13">
        <v>120</v>
      </c>
      <c r="G644" s="13">
        <v>240</v>
      </c>
      <c r="H644" s="19">
        <v>340000</v>
      </c>
      <c r="I644" s="19">
        <v>60000</v>
      </c>
      <c r="J644" s="20" t="s">
        <v>37</v>
      </c>
      <c r="K644" s="13">
        <v>56</v>
      </c>
      <c r="L644" s="21" t="s">
        <v>38</v>
      </c>
      <c r="M644" s="21" t="s">
        <v>35</v>
      </c>
      <c r="N644" s="16" t="s">
        <v>51</v>
      </c>
      <c r="O644" t="str">
        <f>IF(TRIM(J644)="","NULL",IFERROR(VLOOKUP(TRIM(J644),Lookup_PropertyType!$A:$B,2,FALSE()),"other"))</f>
        <v>house</v>
      </c>
      <c r="P644">
        <f t="shared" si="10"/>
        <v>0</v>
      </c>
    </row>
    <row r="645" spans="1:16" ht="15.75" customHeight="1" x14ac:dyDescent="0.35">
      <c r="A645" s="13">
        <v>644</v>
      </c>
      <c r="B645" s="14">
        <v>45872</v>
      </c>
      <c r="C645" s="14">
        <v>45926</v>
      </c>
      <c r="D645" s="16" t="s">
        <v>32</v>
      </c>
      <c r="E645" s="17">
        <v>8500</v>
      </c>
      <c r="F645" s="13">
        <v>120</v>
      </c>
      <c r="G645" s="13">
        <v>792</v>
      </c>
      <c r="H645" s="19">
        <v>250000</v>
      </c>
      <c r="I645" s="19">
        <v>120000</v>
      </c>
      <c r="J645" s="20" t="s">
        <v>37</v>
      </c>
      <c r="K645" s="13">
        <v>50</v>
      </c>
      <c r="L645" s="21" t="s">
        <v>38</v>
      </c>
      <c r="M645" s="21" t="s">
        <v>54</v>
      </c>
      <c r="N645" s="16" t="s">
        <v>42</v>
      </c>
      <c r="O645" t="str">
        <f>IF(TRIM(J645)="","NULL",IFERROR(VLOOKUP(TRIM(J645),Lookup_PropertyType!$A:$B,2,FALSE()),"other"))</f>
        <v>house</v>
      </c>
      <c r="P645">
        <f t="shared" si="10"/>
        <v>1</v>
      </c>
    </row>
    <row r="646" spans="1:16" ht="15.75" customHeight="1" x14ac:dyDescent="0.35">
      <c r="A646" s="13">
        <v>645</v>
      </c>
      <c r="B646" s="14">
        <v>45872</v>
      </c>
      <c r="C646" s="15"/>
      <c r="D646" s="16" t="s">
        <v>32</v>
      </c>
      <c r="E646" s="17">
        <v>18000</v>
      </c>
      <c r="F646" s="13">
        <v>180</v>
      </c>
      <c r="G646" s="13">
        <v>667</v>
      </c>
      <c r="H646" s="19">
        <v>590000</v>
      </c>
      <c r="I646" s="19">
        <v>40000</v>
      </c>
      <c r="J646" s="20" t="s">
        <v>33</v>
      </c>
      <c r="K646" s="13">
        <v>45</v>
      </c>
      <c r="L646" s="21" t="s">
        <v>38</v>
      </c>
      <c r="M646" s="21" t="s">
        <v>39</v>
      </c>
      <c r="N646" s="16" t="s">
        <v>42</v>
      </c>
      <c r="O646" t="str">
        <f>IF(TRIM(J646)="","NULL",IFERROR(VLOOKUP(TRIM(J646),Lookup_PropertyType!$A:$B,2,FALSE()),"other"))</f>
        <v>apartment</v>
      </c>
      <c r="P646">
        <f t="shared" si="10"/>
        <v>0</v>
      </c>
    </row>
    <row r="647" spans="1:16" ht="15.75" customHeight="1" x14ac:dyDescent="0.35">
      <c r="A647" s="13">
        <v>646</v>
      </c>
      <c r="B647" s="14">
        <v>45946</v>
      </c>
      <c r="C647" s="15"/>
      <c r="D647" s="16" t="s">
        <v>55</v>
      </c>
      <c r="E647" s="17">
        <v>5000</v>
      </c>
      <c r="F647" s="13">
        <v>180</v>
      </c>
      <c r="G647" s="13">
        <v>562</v>
      </c>
      <c r="H647" s="19">
        <v>230000</v>
      </c>
      <c r="I647" s="19">
        <v>30000</v>
      </c>
      <c r="J647" s="20" t="s">
        <v>70</v>
      </c>
      <c r="K647" s="13">
        <v>60</v>
      </c>
      <c r="L647" s="21" t="s">
        <v>59</v>
      </c>
      <c r="M647" s="21" t="s">
        <v>39</v>
      </c>
      <c r="N647" s="16" t="s">
        <v>36</v>
      </c>
      <c r="O647" t="str">
        <f>IF(TRIM(J647)="","NULL",IFERROR(VLOOKUP(TRIM(J647),Lookup_PropertyType!$A:$B,2,FALSE()),"other"))</f>
        <v>apartment</v>
      </c>
      <c r="P647">
        <f t="shared" si="10"/>
        <v>0</v>
      </c>
    </row>
    <row r="648" spans="1:16" ht="15.75" customHeight="1" x14ac:dyDescent="0.35">
      <c r="A648" s="13">
        <v>647</v>
      </c>
      <c r="B648" s="14">
        <v>45943</v>
      </c>
      <c r="C648" s="15"/>
      <c r="D648" s="16" t="s">
        <v>32</v>
      </c>
      <c r="E648" s="17">
        <v>30000</v>
      </c>
      <c r="F648" s="13">
        <v>90</v>
      </c>
      <c r="G648" s="13">
        <v>253</v>
      </c>
      <c r="H648" s="19">
        <v>1000000</v>
      </c>
      <c r="I648" s="19">
        <v>300000</v>
      </c>
      <c r="J648" s="20" t="s">
        <v>37</v>
      </c>
      <c r="K648" s="13">
        <v>47</v>
      </c>
      <c r="L648" s="21" t="s">
        <v>45</v>
      </c>
      <c r="M648" s="21" t="s">
        <v>39</v>
      </c>
      <c r="N648" s="16" t="s">
        <v>36</v>
      </c>
      <c r="O648" t="str">
        <f>IF(TRIM(J648)="","NULL",IFERROR(VLOOKUP(TRIM(J648),Lookup_PropertyType!$A:$B,2,FALSE()),"other"))</f>
        <v>house</v>
      </c>
      <c r="P648">
        <f t="shared" si="10"/>
        <v>0</v>
      </c>
    </row>
    <row r="649" spans="1:16" ht="15.75" customHeight="1" x14ac:dyDescent="0.35">
      <c r="A649" s="13">
        <v>648</v>
      </c>
      <c r="B649" s="14">
        <v>45869</v>
      </c>
      <c r="C649" s="14">
        <v>45929</v>
      </c>
      <c r="D649" s="16" t="s">
        <v>32</v>
      </c>
      <c r="E649" s="17">
        <v>13000</v>
      </c>
      <c r="F649" s="13">
        <v>120</v>
      </c>
      <c r="G649" s="13">
        <v>787</v>
      </c>
      <c r="H649" s="19">
        <v>1000000</v>
      </c>
      <c r="I649" s="19">
        <v>250000</v>
      </c>
      <c r="J649" s="20" t="s">
        <v>33</v>
      </c>
      <c r="K649" s="13">
        <v>51</v>
      </c>
      <c r="L649" s="21" t="s">
        <v>38</v>
      </c>
      <c r="M649" s="21" t="s">
        <v>39</v>
      </c>
      <c r="N649" s="16" t="s">
        <v>42</v>
      </c>
      <c r="O649" t="str">
        <f>IF(TRIM(J649)="","NULL",IFERROR(VLOOKUP(TRIM(J649),Lookup_PropertyType!$A:$B,2,FALSE()),"other"))</f>
        <v>apartment</v>
      </c>
      <c r="P649">
        <f t="shared" si="10"/>
        <v>1</v>
      </c>
    </row>
    <row r="650" spans="1:16" ht="15.75" customHeight="1" x14ac:dyDescent="0.35">
      <c r="A650" s="13">
        <v>649</v>
      </c>
      <c r="B650" s="14">
        <v>45915</v>
      </c>
      <c r="C650" s="15"/>
      <c r="D650" s="16" t="s">
        <v>65</v>
      </c>
      <c r="E650" s="17">
        <v>21000</v>
      </c>
      <c r="F650" s="13">
        <v>180</v>
      </c>
      <c r="G650" s="13">
        <v>312</v>
      </c>
      <c r="H650" s="19">
        <v>450000</v>
      </c>
      <c r="I650" s="19">
        <v>230000</v>
      </c>
      <c r="J650" s="20" t="s">
        <v>37</v>
      </c>
      <c r="K650" s="13">
        <v>37</v>
      </c>
      <c r="L650" s="21" t="s">
        <v>34</v>
      </c>
      <c r="M650" s="21" t="s">
        <v>39</v>
      </c>
      <c r="N650" s="16" t="s">
        <v>42</v>
      </c>
      <c r="O650" t="str">
        <f>IF(TRIM(J650)="","NULL",IFERROR(VLOOKUP(TRIM(J650),Lookup_PropertyType!$A:$B,2,FALSE()),"other"))</f>
        <v>house</v>
      </c>
      <c r="P650">
        <f t="shared" si="10"/>
        <v>0</v>
      </c>
    </row>
    <row r="651" spans="1:16" ht="15.75" customHeight="1" x14ac:dyDescent="0.35">
      <c r="A651" s="13">
        <v>650</v>
      </c>
      <c r="B651" s="14">
        <v>45871</v>
      </c>
      <c r="C651" s="15"/>
      <c r="D651" s="16" t="s">
        <v>55</v>
      </c>
      <c r="E651" s="17">
        <v>4500</v>
      </c>
      <c r="F651" s="13">
        <v>180</v>
      </c>
      <c r="G651" s="13">
        <v>534</v>
      </c>
      <c r="H651" s="19">
        <v>400000</v>
      </c>
      <c r="I651" s="19">
        <v>100000</v>
      </c>
      <c r="J651" s="20" t="s">
        <v>33</v>
      </c>
      <c r="K651" s="13">
        <v>69</v>
      </c>
      <c r="L651" s="21" t="s">
        <v>45</v>
      </c>
      <c r="M651" s="21" t="s">
        <v>39</v>
      </c>
      <c r="N651" s="16" t="s">
        <v>50</v>
      </c>
      <c r="O651" t="str">
        <f>IF(TRIM(J651)="","NULL",IFERROR(VLOOKUP(TRIM(J651),Lookup_PropertyType!$A:$B,2,FALSE()),"other"))</f>
        <v>apartment</v>
      </c>
      <c r="P651">
        <f t="shared" si="10"/>
        <v>0</v>
      </c>
    </row>
    <row r="652" spans="1:16" ht="15.75" customHeight="1" x14ac:dyDescent="0.35">
      <c r="A652" s="13">
        <v>651</v>
      </c>
      <c r="B652" s="14">
        <v>45999</v>
      </c>
      <c r="C652" s="15"/>
      <c r="D652" s="16" t="s">
        <v>32</v>
      </c>
      <c r="E652" s="17">
        <v>10000</v>
      </c>
      <c r="F652" s="13">
        <v>180</v>
      </c>
      <c r="G652" s="13">
        <v>819</v>
      </c>
      <c r="H652" s="19">
        <v>250000</v>
      </c>
      <c r="I652" s="19">
        <v>50000</v>
      </c>
      <c r="J652" s="20" t="s">
        <v>37</v>
      </c>
      <c r="K652" s="13">
        <v>37</v>
      </c>
      <c r="L652" s="21" t="s">
        <v>41</v>
      </c>
      <c r="M652" s="21" t="s">
        <v>35</v>
      </c>
      <c r="N652" s="16" t="s">
        <v>51</v>
      </c>
      <c r="O652" t="str">
        <f>IF(TRIM(J652)="","NULL",IFERROR(VLOOKUP(TRIM(J652),Lookup_PropertyType!$A:$B,2,FALSE()),"other"))</f>
        <v>house</v>
      </c>
      <c r="P652">
        <f t="shared" si="10"/>
        <v>0</v>
      </c>
    </row>
    <row r="653" spans="1:16" ht="15.75" customHeight="1" x14ac:dyDescent="0.35">
      <c r="A653" s="13">
        <v>652</v>
      </c>
      <c r="B653" s="14">
        <v>45893</v>
      </c>
      <c r="C653" s="15"/>
      <c r="D653" s="16" t="s">
        <v>32</v>
      </c>
      <c r="E653" s="17">
        <v>60000</v>
      </c>
      <c r="F653" s="13">
        <v>180</v>
      </c>
      <c r="G653" s="13">
        <v>743</v>
      </c>
      <c r="H653" s="19">
        <v>1000000</v>
      </c>
      <c r="I653" s="19">
        <v>350000</v>
      </c>
      <c r="J653" s="20" t="s">
        <v>33</v>
      </c>
      <c r="K653" s="13">
        <v>50</v>
      </c>
      <c r="L653" s="21" t="s">
        <v>59</v>
      </c>
      <c r="M653" s="21" t="s">
        <v>39</v>
      </c>
      <c r="N653" s="16" t="s">
        <v>40</v>
      </c>
      <c r="O653" t="str">
        <f>IF(TRIM(J653)="","NULL",IFERROR(VLOOKUP(TRIM(J653),Lookup_PropertyType!$A:$B,2,FALSE()),"other"))</f>
        <v>apartment</v>
      </c>
      <c r="P653">
        <f t="shared" si="10"/>
        <v>0</v>
      </c>
    </row>
    <row r="654" spans="1:16" ht="15.75" customHeight="1" x14ac:dyDescent="0.35">
      <c r="A654" s="13">
        <v>653</v>
      </c>
      <c r="B654" s="14">
        <v>45891</v>
      </c>
      <c r="C654" s="15"/>
      <c r="D654" s="16" t="s">
        <v>32</v>
      </c>
      <c r="E654" s="17">
        <v>20000</v>
      </c>
      <c r="F654" s="13">
        <v>180</v>
      </c>
      <c r="G654" s="13">
        <v>974</v>
      </c>
      <c r="H654" s="19">
        <v>1000000</v>
      </c>
      <c r="I654" s="19">
        <v>200000</v>
      </c>
      <c r="J654" s="20" t="s">
        <v>33</v>
      </c>
      <c r="K654" s="13">
        <v>38</v>
      </c>
      <c r="L654" s="21" t="s">
        <v>59</v>
      </c>
      <c r="M654" s="21" t="s">
        <v>39</v>
      </c>
      <c r="N654" s="16" t="s">
        <v>36</v>
      </c>
      <c r="O654" t="str">
        <f>IF(TRIM(J654)="","NULL",IFERROR(VLOOKUP(TRIM(J654),Lookup_PropertyType!$A:$B,2,FALSE()),"other"))</f>
        <v>apartment</v>
      </c>
      <c r="P654">
        <f t="shared" si="10"/>
        <v>0</v>
      </c>
    </row>
    <row r="655" spans="1:16" ht="15.75" customHeight="1" x14ac:dyDescent="0.35">
      <c r="A655" s="13">
        <v>654</v>
      </c>
      <c r="B655" s="14">
        <v>45880</v>
      </c>
      <c r="C655" s="14">
        <v>45921</v>
      </c>
      <c r="D655" s="16" t="s">
        <v>58</v>
      </c>
      <c r="E655" s="17">
        <v>65000</v>
      </c>
      <c r="F655" s="13">
        <v>90</v>
      </c>
      <c r="G655" s="13">
        <v>332</v>
      </c>
      <c r="H655" s="19">
        <v>2200000</v>
      </c>
      <c r="I655" s="19">
        <v>730000</v>
      </c>
      <c r="J655" s="20" t="s">
        <v>33</v>
      </c>
      <c r="K655" s="13">
        <v>58</v>
      </c>
      <c r="L655" s="21" t="s">
        <v>38</v>
      </c>
      <c r="M655" s="21" t="s">
        <v>39</v>
      </c>
      <c r="N655" s="16" t="s">
        <v>36</v>
      </c>
      <c r="O655" t="str">
        <f>IF(TRIM(J655)="","NULL",IFERROR(VLOOKUP(TRIM(J655),Lookup_PropertyType!$A:$B,2,FALSE()),"other"))</f>
        <v>apartment</v>
      </c>
      <c r="P655">
        <f t="shared" si="10"/>
        <v>1</v>
      </c>
    </row>
    <row r="656" spans="1:16" ht="15.75" customHeight="1" x14ac:dyDescent="0.35">
      <c r="A656" s="13">
        <v>655</v>
      </c>
      <c r="B656" s="14">
        <v>45926</v>
      </c>
      <c r="C656" s="15"/>
      <c r="D656" s="16" t="s">
        <v>46</v>
      </c>
      <c r="E656" s="17">
        <v>4400</v>
      </c>
      <c r="F656" s="13">
        <v>180</v>
      </c>
      <c r="G656" s="13">
        <v>262</v>
      </c>
      <c r="H656" s="19">
        <v>350000</v>
      </c>
      <c r="I656" s="19">
        <v>35000</v>
      </c>
      <c r="J656" s="20" t="s">
        <v>33</v>
      </c>
      <c r="K656" s="13">
        <v>61</v>
      </c>
      <c r="L656" s="21" t="s">
        <v>41</v>
      </c>
      <c r="M656" s="21" t="s">
        <v>35</v>
      </c>
      <c r="N656" s="16" t="s">
        <v>43</v>
      </c>
      <c r="O656" t="str">
        <f>IF(TRIM(J656)="","NULL",IFERROR(VLOOKUP(TRIM(J656),Lookup_PropertyType!$A:$B,2,FALSE()),"other"))</f>
        <v>apartment</v>
      </c>
      <c r="P656">
        <f t="shared" si="10"/>
        <v>0</v>
      </c>
    </row>
    <row r="657" spans="1:16" ht="15.75" customHeight="1" x14ac:dyDescent="0.35">
      <c r="A657" s="13">
        <v>656</v>
      </c>
      <c r="B657" s="14">
        <v>45893</v>
      </c>
      <c r="C657" s="15"/>
      <c r="D657" s="16" t="s">
        <v>66</v>
      </c>
      <c r="E657" s="17">
        <v>15000</v>
      </c>
      <c r="F657" s="13">
        <v>180</v>
      </c>
      <c r="G657" s="13">
        <v>455</v>
      </c>
      <c r="H657" s="19">
        <v>450000</v>
      </c>
      <c r="I657" s="19">
        <v>100000</v>
      </c>
      <c r="J657" s="20" t="s">
        <v>33</v>
      </c>
      <c r="K657" s="13">
        <v>40</v>
      </c>
      <c r="L657" s="21" t="s">
        <v>41</v>
      </c>
      <c r="M657" s="21" t="s">
        <v>35</v>
      </c>
      <c r="N657" s="16" t="s">
        <v>36</v>
      </c>
      <c r="O657" t="str">
        <f>IF(TRIM(J657)="","NULL",IFERROR(VLOOKUP(TRIM(J657),Lookup_PropertyType!$A:$B,2,FALSE()),"other"))</f>
        <v>apartment</v>
      </c>
      <c r="P657">
        <f t="shared" si="10"/>
        <v>0</v>
      </c>
    </row>
    <row r="658" spans="1:16" ht="15.75" customHeight="1" x14ac:dyDescent="0.35">
      <c r="A658" s="13">
        <v>657</v>
      </c>
      <c r="B658" s="14">
        <v>45879</v>
      </c>
      <c r="C658" s="14">
        <v>45936</v>
      </c>
      <c r="D658" s="16" t="s">
        <v>49</v>
      </c>
      <c r="E658" s="17">
        <v>10000</v>
      </c>
      <c r="F658" s="13">
        <v>180</v>
      </c>
      <c r="G658" s="13">
        <v>250</v>
      </c>
      <c r="H658" s="19">
        <v>700000</v>
      </c>
      <c r="I658" s="19">
        <v>150000</v>
      </c>
      <c r="J658" s="20" t="s">
        <v>33</v>
      </c>
      <c r="K658" s="13">
        <v>37</v>
      </c>
      <c r="L658" s="21" t="s">
        <v>45</v>
      </c>
      <c r="M658" s="21" t="s">
        <v>39</v>
      </c>
      <c r="N658" s="16" t="s">
        <v>42</v>
      </c>
      <c r="O658" t="str">
        <f>IF(TRIM(J658)="","NULL",IFERROR(VLOOKUP(TRIM(J658),Lookup_PropertyType!$A:$B,2,FALSE()),"other"))</f>
        <v>apartment</v>
      </c>
      <c r="P658">
        <f t="shared" si="10"/>
        <v>1</v>
      </c>
    </row>
    <row r="659" spans="1:16" ht="15.75" customHeight="1" x14ac:dyDescent="0.35">
      <c r="A659" s="13">
        <v>658</v>
      </c>
      <c r="B659" s="14">
        <v>45892</v>
      </c>
      <c r="C659" s="14">
        <v>45996</v>
      </c>
      <c r="D659" s="16" t="s">
        <v>32</v>
      </c>
      <c r="E659" s="17">
        <v>6000</v>
      </c>
      <c r="F659" s="13">
        <v>180</v>
      </c>
      <c r="G659" s="13">
        <v>381</v>
      </c>
      <c r="H659" s="19">
        <v>250000</v>
      </c>
      <c r="I659" s="19">
        <v>30000</v>
      </c>
      <c r="J659" s="20" t="s">
        <v>37</v>
      </c>
      <c r="K659" s="13">
        <v>71</v>
      </c>
      <c r="L659" s="21" t="s">
        <v>59</v>
      </c>
      <c r="M659" s="21" t="s">
        <v>54</v>
      </c>
      <c r="N659" s="16" t="s">
        <v>42</v>
      </c>
      <c r="O659" t="str">
        <f>IF(TRIM(J659)="","NULL",IFERROR(VLOOKUP(TRIM(J659),Lookup_PropertyType!$A:$B,2,FALSE()),"other"))</f>
        <v>house</v>
      </c>
      <c r="P659">
        <f t="shared" si="10"/>
        <v>1</v>
      </c>
    </row>
    <row r="660" spans="1:16" ht="15.75" customHeight="1" x14ac:dyDescent="0.35">
      <c r="A660" s="13">
        <v>659</v>
      </c>
      <c r="B660" s="14">
        <v>45901</v>
      </c>
      <c r="C660" s="15"/>
      <c r="D660" s="16" t="s">
        <v>32</v>
      </c>
      <c r="E660" s="17">
        <v>10000</v>
      </c>
      <c r="F660" s="13">
        <v>180</v>
      </c>
      <c r="G660" s="13">
        <v>962</v>
      </c>
      <c r="H660" s="19">
        <v>350000</v>
      </c>
      <c r="I660" s="19">
        <v>140000</v>
      </c>
      <c r="J660" s="20" t="s">
        <v>53</v>
      </c>
      <c r="K660" s="13">
        <v>71</v>
      </c>
      <c r="L660" s="21" t="s">
        <v>45</v>
      </c>
      <c r="M660" s="21" t="s">
        <v>39</v>
      </c>
      <c r="N660" s="16" t="s">
        <v>36</v>
      </c>
      <c r="O660" t="str">
        <f>IF(TRIM(J660)="","NULL",IFERROR(VLOOKUP(TRIM(J660),Lookup_PropertyType!$A:$B,2,FALSE()),"other"))</f>
        <v>other</v>
      </c>
      <c r="P660">
        <f t="shared" si="10"/>
        <v>0</v>
      </c>
    </row>
    <row r="661" spans="1:16" ht="15.75" customHeight="1" x14ac:dyDescent="0.35">
      <c r="A661" s="13">
        <v>660</v>
      </c>
      <c r="B661" s="14">
        <v>45932</v>
      </c>
      <c r="C661" s="15"/>
      <c r="D661" s="16" t="s">
        <v>49</v>
      </c>
      <c r="E661" s="17">
        <v>5476</v>
      </c>
      <c r="F661" s="13">
        <v>180</v>
      </c>
      <c r="G661" s="13">
        <v>579</v>
      </c>
      <c r="H661" s="19">
        <v>350000</v>
      </c>
      <c r="I661" s="19">
        <v>50000</v>
      </c>
      <c r="J661" s="20" t="s">
        <v>60</v>
      </c>
      <c r="K661" s="13">
        <v>41</v>
      </c>
      <c r="L661" s="21" t="s">
        <v>38</v>
      </c>
      <c r="M661" s="21" t="s">
        <v>48</v>
      </c>
      <c r="N661" s="16" t="s">
        <v>42</v>
      </c>
      <c r="O661" t="str">
        <f>IF(TRIM(J661)="","NULL",IFERROR(VLOOKUP(TRIM(J661),Lookup_PropertyType!$A:$B,2,FALSE()),"other"))</f>
        <v>other</v>
      </c>
      <c r="P661">
        <f t="shared" si="10"/>
        <v>0</v>
      </c>
    </row>
    <row r="662" spans="1:16" ht="15.75" customHeight="1" x14ac:dyDescent="0.35">
      <c r="A662" s="13">
        <v>661</v>
      </c>
      <c r="B662" s="14">
        <v>45908</v>
      </c>
      <c r="C662" s="15"/>
      <c r="D662" s="16" t="s">
        <v>58</v>
      </c>
      <c r="E662" s="17">
        <v>10000</v>
      </c>
      <c r="F662" s="13">
        <v>180</v>
      </c>
      <c r="G662" s="13">
        <v>425</v>
      </c>
      <c r="H662" s="19">
        <v>600000</v>
      </c>
      <c r="I662" s="19">
        <v>50000</v>
      </c>
      <c r="J662" s="20" t="s">
        <v>37</v>
      </c>
      <c r="K662" s="13">
        <v>60</v>
      </c>
      <c r="L662" s="21" t="s">
        <v>38</v>
      </c>
      <c r="M662" s="21" t="s">
        <v>67</v>
      </c>
      <c r="N662" s="16" t="s">
        <v>40</v>
      </c>
      <c r="O662" t="str">
        <f>IF(TRIM(J662)="","NULL",IFERROR(VLOOKUP(TRIM(J662),Lookup_PropertyType!$A:$B,2,FALSE()),"other"))</f>
        <v>house</v>
      </c>
      <c r="P662">
        <f t="shared" si="10"/>
        <v>0</v>
      </c>
    </row>
    <row r="663" spans="1:16" ht="15.75" customHeight="1" x14ac:dyDescent="0.35">
      <c r="A663" s="13">
        <v>662</v>
      </c>
      <c r="B663" s="14">
        <v>45893</v>
      </c>
      <c r="C663" s="14">
        <v>45971</v>
      </c>
      <c r="D663" s="16" t="s">
        <v>32</v>
      </c>
      <c r="E663" s="17">
        <v>5000</v>
      </c>
      <c r="F663" s="13">
        <v>180</v>
      </c>
      <c r="G663" s="13">
        <v>347</v>
      </c>
      <c r="H663" s="19">
        <v>220000</v>
      </c>
      <c r="I663" s="19">
        <v>70000</v>
      </c>
      <c r="J663" s="20" t="s">
        <v>33</v>
      </c>
      <c r="K663" s="13">
        <v>55</v>
      </c>
      <c r="L663" s="21" t="s">
        <v>41</v>
      </c>
      <c r="M663" s="21" t="s">
        <v>39</v>
      </c>
      <c r="N663" s="16" t="s">
        <v>51</v>
      </c>
      <c r="O663" t="str">
        <f>IF(TRIM(J663)="","NULL",IFERROR(VLOOKUP(TRIM(J663),Lookup_PropertyType!$A:$B,2,FALSE()),"other"))</f>
        <v>apartment</v>
      </c>
      <c r="P663">
        <f t="shared" si="10"/>
        <v>1</v>
      </c>
    </row>
    <row r="664" spans="1:16" ht="15.75" customHeight="1" x14ac:dyDescent="0.35">
      <c r="A664" s="13">
        <v>663</v>
      </c>
      <c r="B664" s="14">
        <v>45891</v>
      </c>
      <c r="C664" s="15"/>
      <c r="D664" s="16" t="s">
        <v>32</v>
      </c>
      <c r="E664" s="17">
        <v>70000</v>
      </c>
      <c r="F664" s="13">
        <v>120</v>
      </c>
      <c r="G664" s="13">
        <v>985</v>
      </c>
      <c r="H664" s="19">
        <v>500000</v>
      </c>
      <c r="I664" s="19">
        <v>150000</v>
      </c>
      <c r="J664" s="20" t="s">
        <v>33</v>
      </c>
      <c r="K664" s="13">
        <v>49</v>
      </c>
      <c r="L664" s="21" t="s">
        <v>38</v>
      </c>
      <c r="M664" s="21" t="s">
        <v>39</v>
      </c>
      <c r="N664" s="16" t="s">
        <v>36</v>
      </c>
      <c r="O664" t="str">
        <f>IF(TRIM(J664)="","NULL",IFERROR(VLOOKUP(TRIM(J664),Lookup_PropertyType!$A:$B,2,FALSE()),"other"))</f>
        <v>apartment</v>
      </c>
      <c r="P664">
        <f t="shared" si="10"/>
        <v>0</v>
      </c>
    </row>
    <row r="665" spans="1:16" ht="15.75" customHeight="1" x14ac:dyDescent="0.35">
      <c r="A665" s="13">
        <v>664</v>
      </c>
      <c r="B665" s="14">
        <v>45892</v>
      </c>
      <c r="C665" s="15"/>
      <c r="D665" s="16" t="s">
        <v>32</v>
      </c>
      <c r="E665" s="17">
        <v>11000</v>
      </c>
      <c r="F665" s="13">
        <v>180</v>
      </c>
      <c r="G665" s="13">
        <v>560</v>
      </c>
      <c r="H665" s="19">
        <v>2000000</v>
      </c>
      <c r="I665" s="19">
        <v>120000</v>
      </c>
      <c r="J665" s="20" t="s">
        <v>37</v>
      </c>
      <c r="K665" s="13">
        <v>61</v>
      </c>
      <c r="L665" s="21" t="s">
        <v>38</v>
      </c>
      <c r="M665" s="21" t="s">
        <v>35</v>
      </c>
      <c r="N665" s="16" t="s">
        <v>36</v>
      </c>
      <c r="O665" t="str">
        <f>IF(TRIM(J665)="","NULL",IFERROR(VLOOKUP(TRIM(J665),Lookup_PropertyType!$A:$B,2,FALSE()),"other"))</f>
        <v>house</v>
      </c>
      <c r="P665">
        <f t="shared" si="10"/>
        <v>0</v>
      </c>
    </row>
    <row r="666" spans="1:16" ht="15.75" customHeight="1" x14ac:dyDescent="0.35">
      <c r="A666" s="13">
        <v>665</v>
      </c>
      <c r="B666" s="14">
        <v>45872</v>
      </c>
      <c r="C666" s="15"/>
      <c r="D666" s="16" t="s">
        <v>32</v>
      </c>
      <c r="E666" s="17">
        <v>23000</v>
      </c>
      <c r="F666" s="13">
        <v>180</v>
      </c>
      <c r="G666" s="13">
        <v>774</v>
      </c>
      <c r="H666" s="19">
        <v>787490</v>
      </c>
      <c r="I666" s="19">
        <v>200000</v>
      </c>
      <c r="J666" s="20" t="s">
        <v>60</v>
      </c>
      <c r="K666" s="13">
        <v>51</v>
      </c>
      <c r="L666" s="21" t="s">
        <v>59</v>
      </c>
      <c r="M666" s="21" t="s">
        <v>39</v>
      </c>
      <c r="N666" s="16" t="s">
        <v>40</v>
      </c>
      <c r="O666" t="str">
        <f>IF(TRIM(J666)="","NULL",IFERROR(VLOOKUP(TRIM(J666),Lookup_PropertyType!$A:$B,2,FALSE()),"other"))</f>
        <v>other</v>
      </c>
      <c r="P666">
        <f t="shared" si="10"/>
        <v>0</v>
      </c>
    </row>
    <row r="667" spans="1:16" ht="15.75" customHeight="1" x14ac:dyDescent="0.35">
      <c r="A667" s="13">
        <v>666</v>
      </c>
      <c r="B667" s="14">
        <v>45873</v>
      </c>
      <c r="C667" s="15"/>
      <c r="D667" s="16" t="s">
        <v>32</v>
      </c>
      <c r="E667" s="17">
        <v>7900</v>
      </c>
      <c r="F667" s="13">
        <v>180</v>
      </c>
      <c r="G667" s="13">
        <v>993</v>
      </c>
      <c r="H667" s="19">
        <v>280000</v>
      </c>
      <c r="I667" s="19">
        <v>150000</v>
      </c>
      <c r="J667" s="20" t="s">
        <v>37</v>
      </c>
      <c r="K667" s="13">
        <v>46</v>
      </c>
      <c r="L667" s="21" t="s">
        <v>38</v>
      </c>
      <c r="M667" s="21" t="s">
        <v>39</v>
      </c>
      <c r="N667" s="16" t="s">
        <v>42</v>
      </c>
      <c r="O667" t="str">
        <f>IF(TRIM(J667)="","NULL",IFERROR(VLOOKUP(TRIM(J667),Lookup_PropertyType!$A:$B,2,FALSE()),"other"))</f>
        <v>house</v>
      </c>
      <c r="P667">
        <f t="shared" si="10"/>
        <v>0</v>
      </c>
    </row>
    <row r="668" spans="1:16" ht="15.75" customHeight="1" x14ac:dyDescent="0.35">
      <c r="A668" s="13">
        <v>667</v>
      </c>
      <c r="B668" s="14">
        <v>45873</v>
      </c>
      <c r="C668" s="15"/>
      <c r="D668" s="16" t="s">
        <v>32</v>
      </c>
      <c r="E668" s="17">
        <v>7000</v>
      </c>
      <c r="F668" s="13">
        <v>180</v>
      </c>
      <c r="G668" s="13">
        <v>393</v>
      </c>
      <c r="H668" s="19">
        <v>600000</v>
      </c>
      <c r="I668" s="19">
        <v>90000</v>
      </c>
      <c r="J668" s="20" t="s">
        <v>37</v>
      </c>
      <c r="K668" s="13">
        <v>35</v>
      </c>
      <c r="L668" s="21" t="s">
        <v>41</v>
      </c>
      <c r="M668" s="21" t="s">
        <v>39</v>
      </c>
      <c r="N668" s="16" t="s">
        <v>40</v>
      </c>
      <c r="O668" t="str">
        <f>IF(TRIM(J668)="","NULL",IFERROR(VLOOKUP(TRIM(J668),Lookup_PropertyType!$A:$B,2,FALSE()),"other"))</f>
        <v>house</v>
      </c>
      <c r="P668">
        <f t="shared" si="10"/>
        <v>0</v>
      </c>
    </row>
    <row r="669" spans="1:16" ht="15.75" customHeight="1" x14ac:dyDescent="0.35">
      <c r="A669" s="13">
        <v>668</v>
      </c>
      <c r="B669" s="14">
        <v>45891</v>
      </c>
      <c r="C669" s="15"/>
      <c r="D669" s="16" t="s">
        <v>32</v>
      </c>
      <c r="E669" s="17">
        <v>8000</v>
      </c>
      <c r="F669" s="13">
        <v>180</v>
      </c>
      <c r="G669" s="13">
        <v>866</v>
      </c>
      <c r="H669" s="19">
        <v>350000</v>
      </c>
      <c r="I669" s="19">
        <v>80000</v>
      </c>
      <c r="J669" s="20" t="s">
        <v>33</v>
      </c>
      <c r="K669" s="13">
        <v>39</v>
      </c>
      <c r="L669" s="21" t="s">
        <v>38</v>
      </c>
      <c r="M669" s="21" t="s">
        <v>72</v>
      </c>
      <c r="N669" s="16" t="s">
        <v>40</v>
      </c>
      <c r="O669" t="str">
        <f>IF(TRIM(J669)="","NULL",IFERROR(VLOOKUP(TRIM(J669),Lookup_PropertyType!$A:$B,2,FALSE()),"other"))</f>
        <v>apartment</v>
      </c>
      <c r="P669">
        <f t="shared" si="10"/>
        <v>0</v>
      </c>
    </row>
    <row r="670" spans="1:16" ht="15.75" customHeight="1" x14ac:dyDescent="0.35">
      <c r="A670" s="13">
        <v>669</v>
      </c>
      <c r="B670" s="14">
        <v>45887</v>
      </c>
      <c r="C670" s="15"/>
      <c r="D670" s="16" t="s">
        <v>32</v>
      </c>
      <c r="E670" s="17">
        <v>3000</v>
      </c>
      <c r="F670" s="13">
        <v>90</v>
      </c>
      <c r="G670" s="13">
        <v>409</v>
      </c>
      <c r="H670" s="19">
        <v>380000</v>
      </c>
      <c r="I670" s="19">
        <v>35000</v>
      </c>
      <c r="J670" s="20" t="s">
        <v>37</v>
      </c>
      <c r="K670" s="13">
        <v>44</v>
      </c>
      <c r="L670" s="21" t="s">
        <v>38</v>
      </c>
      <c r="M670" s="21" t="s">
        <v>39</v>
      </c>
      <c r="N670" s="16" t="s">
        <v>42</v>
      </c>
      <c r="O670" t="str">
        <f>IF(TRIM(J670)="","NULL",IFERROR(VLOOKUP(TRIM(J670),Lookup_PropertyType!$A:$B,2,FALSE()),"other"))</f>
        <v>house</v>
      </c>
      <c r="P670">
        <f t="shared" si="10"/>
        <v>0</v>
      </c>
    </row>
    <row r="671" spans="1:16" ht="15.75" customHeight="1" x14ac:dyDescent="0.35">
      <c r="A671" s="13">
        <v>670</v>
      </c>
      <c r="B671" s="14">
        <v>45943</v>
      </c>
      <c r="C671" s="15"/>
      <c r="D671" s="16" t="s">
        <v>32</v>
      </c>
      <c r="E671" s="17">
        <v>5500</v>
      </c>
      <c r="F671" s="13">
        <v>180</v>
      </c>
      <c r="G671" s="13">
        <v>834</v>
      </c>
      <c r="H671" s="19">
        <v>350000</v>
      </c>
      <c r="I671" s="19">
        <v>40000</v>
      </c>
      <c r="J671" s="20" t="s">
        <v>37</v>
      </c>
      <c r="K671" s="13">
        <v>56</v>
      </c>
      <c r="L671" s="21" t="s">
        <v>38</v>
      </c>
      <c r="M671" s="21" t="s">
        <v>39</v>
      </c>
      <c r="N671" s="16" t="s">
        <v>43</v>
      </c>
      <c r="O671" t="str">
        <f>IF(TRIM(J671)="","NULL",IFERROR(VLOOKUP(TRIM(J671),Lookup_PropertyType!$A:$B,2,FALSE()),"other"))</f>
        <v>house</v>
      </c>
      <c r="P671">
        <f t="shared" si="10"/>
        <v>0</v>
      </c>
    </row>
    <row r="672" spans="1:16" ht="15.75" customHeight="1" x14ac:dyDescent="0.35">
      <c r="A672" s="13">
        <v>671</v>
      </c>
      <c r="B672" s="14">
        <v>45877</v>
      </c>
      <c r="C672" s="15"/>
      <c r="D672" s="16" t="s">
        <v>58</v>
      </c>
      <c r="E672" s="17">
        <v>68000</v>
      </c>
      <c r="F672" s="13">
        <v>180</v>
      </c>
      <c r="G672" s="13">
        <v>435</v>
      </c>
      <c r="H672" s="19">
        <v>350000</v>
      </c>
      <c r="I672" s="19">
        <v>85000</v>
      </c>
      <c r="J672" s="20" t="s">
        <v>33</v>
      </c>
      <c r="K672" s="13">
        <v>34</v>
      </c>
      <c r="L672" s="21" t="s">
        <v>38</v>
      </c>
      <c r="M672" s="21" t="s">
        <v>39</v>
      </c>
      <c r="N672" s="16" t="s">
        <v>42</v>
      </c>
      <c r="O672" t="str">
        <f>IF(TRIM(J672)="","NULL",IFERROR(VLOOKUP(TRIM(J672),Lookup_PropertyType!$A:$B,2,FALSE()),"other"))</f>
        <v>apartment</v>
      </c>
      <c r="P672">
        <f t="shared" si="10"/>
        <v>0</v>
      </c>
    </row>
    <row r="673" spans="1:16" ht="15.75" customHeight="1" x14ac:dyDescent="0.35">
      <c r="A673" s="13">
        <v>672</v>
      </c>
      <c r="B673" s="14">
        <v>45876</v>
      </c>
      <c r="C673" s="15"/>
      <c r="D673" s="16" t="s">
        <v>32</v>
      </c>
      <c r="E673" s="17">
        <v>4174</v>
      </c>
      <c r="F673" s="13">
        <v>180</v>
      </c>
      <c r="G673" s="13">
        <v>254</v>
      </c>
      <c r="H673" s="19">
        <v>700000</v>
      </c>
      <c r="I673" s="19">
        <v>50000</v>
      </c>
      <c r="J673" s="20" t="s">
        <v>33</v>
      </c>
      <c r="K673" s="13">
        <v>46</v>
      </c>
      <c r="L673" s="21" t="s">
        <v>38</v>
      </c>
      <c r="M673" s="21" t="s">
        <v>48</v>
      </c>
      <c r="N673" s="16" t="s">
        <v>42</v>
      </c>
      <c r="O673" t="str">
        <f>IF(TRIM(J673)="","NULL",IFERROR(VLOOKUP(TRIM(J673),Lookup_PropertyType!$A:$B,2,FALSE()),"other"))</f>
        <v>apartment</v>
      </c>
      <c r="P673">
        <f t="shared" si="10"/>
        <v>0</v>
      </c>
    </row>
    <row r="674" spans="1:16" ht="15.75" customHeight="1" x14ac:dyDescent="0.35">
      <c r="A674" s="13">
        <v>673</v>
      </c>
      <c r="B674" s="14">
        <v>45876</v>
      </c>
      <c r="C674" s="15"/>
      <c r="D674" s="16" t="s">
        <v>57</v>
      </c>
      <c r="E674" s="17">
        <v>20000</v>
      </c>
      <c r="F674" s="13">
        <v>180</v>
      </c>
      <c r="G674" s="13">
        <v>471</v>
      </c>
      <c r="H674" s="19">
        <v>800000</v>
      </c>
      <c r="I674" s="19">
        <v>375000</v>
      </c>
      <c r="J674" s="20" t="s">
        <v>37</v>
      </c>
      <c r="K674" s="13">
        <v>52</v>
      </c>
      <c r="L674" s="21" t="s">
        <v>34</v>
      </c>
      <c r="M674" s="21" t="s">
        <v>39</v>
      </c>
      <c r="N674" s="16" t="s">
        <v>50</v>
      </c>
      <c r="O674" t="str">
        <f>IF(TRIM(J674)="","NULL",IFERROR(VLOOKUP(TRIM(J674),Lookup_PropertyType!$A:$B,2,FALSE()),"other"))</f>
        <v>house</v>
      </c>
      <c r="P674">
        <f t="shared" si="10"/>
        <v>0</v>
      </c>
    </row>
    <row r="675" spans="1:16" ht="15.75" customHeight="1" x14ac:dyDescent="0.35">
      <c r="A675" s="13">
        <v>674</v>
      </c>
      <c r="B675" s="14">
        <v>45877</v>
      </c>
      <c r="C675" s="14">
        <v>45949</v>
      </c>
      <c r="D675" s="16" t="s">
        <v>32</v>
      </c>
      <c r="E675" s="17">
        <v>10000</v>
      </c>
      <c r="F675" s="13">
        <v>180</v>
      </c>
      <c r="G675" s="13">
        <v>834</v>
      </c>
      <c r="H675" s="19">
        <v>630000</v>
      </c>
      <c r="I675" s="19">
        <v>150000</v>
      </c>
      <c r="J675" s="20" t="s">
        <v>33</v>
      </c>
      <c r="K675" s="13">
        <v>49</v>
      </c>
      <c r="L675" s="21" t="s">
        <v>38</v>
      </c>
      <c r="M675" s="21" t="s">
        <v>72</v>
      </c>
      <c r="N675" s="16" t="s">
        <v>36</v>
      </c>
      <c r="O675" t="str">
        <f>IF(TRIM(J675)="","NULL",IFERROR(VLOOKUP(TRIM(J675),Lookup_PropertyType!$A:$B,2,FALSE()),"other"))</f>
        <v>apartment</v>
      </c>
      <c r="P675">
        <f t="shared" si="10"/>
        <v>1</v>
      </c>
    </row>
    <row r="676" spans="1:16" ht="15.75" customHeight="1" x14ac:dyDescent="0.35">
      <c r="A676" s="13">
        <v>675</v>
      </c>
      <c r="B676" s="14">
        <v>45890</v>
      </c>
      <c r="C676" s="15"/>
      <c r="D676" s="16" t="s">
        <v>32</v>
      </c>
      <c r="E676" s="17">
        <v>3500</v>
      </c>
      <c r="F676" s="13">
        <v>180</v>
      </c>
      <c r="G676" s="13">
        <v>441</v>
      </c>
      <c r="H676" s="19">
        <v>550000</v>
      </c>
      <c r="I676" s="19">
        <v>30000</v>
      </c>
      <c r="J676" s="20" t="s">
        <v>37</v>
      </c>
      <c r="K676" s="13">
        <v>50</v>
      </c>
      <c r="L676" s="21" t="s">
        <v>45</v>
      </c>
      <c r="M676" s="21" t="s">
        <v>39</v>
      </c>
      <c r="N676" s="16" t="s">
        <v>42</v>
      </c>
      <c r="O676" t="str">
        <f>IF(TRIM(J676)="","NULL",IFERROR(VLOOKUP(TRIM(J676),Lookup_PropertyType!$A:$B,2,FALSE()),"other"))</f>
        <v>house</v>
      </c>
      <c r="P676">
        <f t="shared" si="10"/>
        <v>0</v>
      </c>
    </row>
    <row r="677" spans="1:16" ht="15.75" customHeight="1" x14ac:dyDescent="0.35">
      <c r="A677" s="13">
        <v>676</v>
      </c>
      <c r="B677" s="14">
        <v>45880</v>
      </c>
      <c r="C677" s="15"/>
      <c r="D677" s="16" t="s">
        <v>32</v>
      </c>
      <c r="E677" s="17">
        <v>5000</v>
      </c>
      <c r="F677" s="13">
        <v>180</v>
      </c>
      <c r="G677" s="13">
        <v>476</v>
      </c>
      <c r="H677" s="19">
        <v>450000</v>
      </c>
      <c r="I677" s="19">
        <v>40000</v>
      </c>
      <c r="J677" s="20" t="s">
        <v>33</v>
      </c>
      <c r="K677" s="13">
        <v>32</v>
      </c>
      <c r="L677" s="21" t="s">
        <v>41</v>
      </c>
      <c r="M677" s="21" t="s">
        <v>39</v>
      </c>
      <c r="N677" s="16" t="s">
        <v>36</v>
      </c>
      <c r="O677" t="str">
        <f>IF(TRIM(J677)="","NULL",IFERROR(VLOOKUP(TRIM(J677),Lookup_PropertyType!$A:$B,2,FALSE()),"other"))</f>
        <v>apartment</v>
      </c>
      <c r="P677">
        <f t="shared" si="10"/>
        <v>0</v>
      </c>
    </row>
    <row r="678" spans="1:16" ht="15.75" customHeight="1" x14ac:dyDescent="0.35">
      <c r="A678" s="13">
        <v>677</v>
      </c>
      <c r="B678" s="14">
        <v>45906</v>
      </c>
      <c r="C678" s="15"/>
      <c r="D678" s="16" t="s">
        <v>44</v>
      </c>
      <c r="E678" s="17">
        <v>7000</v>
      </c>
      <c r="F678" s="13">
        <v>180</v>
      </c>
      <c r="G678" s="13">
        <v>318</v>
      </c>
      <c r="H678" s="19">
        <v>350000</v>
      </c>
      <c r="I678" s="19">
        <v>100000</v>
      </c>
      <c r="J678" s="20" t="s">
        <v>37</v>
      </c>
      <c r="K678" s="13">
        <v>53</v>
      </c>
      <c r="L678" s="21" t="s">
        <v>38</v>
      </c>
      <c r="M678" s="21" t="s">
        <v>54</v>
      </c>
      <c r="N678" s="16" t="s">
        <v>50</v>
      </c>
      <c r="O678" t="str">
        <f>IF(TRIM(J678)="","NULL",IFERROR(VLOOKUP(TRIM(J678),Lookup_PropertyType!$A:$B,2,FALSE()),"other"))</f>
        <v>house</v>
      </c>
      <c r="P678">
        <f t="shared" si="10"/>
        <v>0</v>
      </c>
    </row>
    <row r="679" spans="1:16" ht="15.75" customHeight="1" x14ac:dyDescent="0.35">
      <c r="A679" s="13">
        <v>678</v>
      </c>
      <c r="B679" s="14">
        <v>46039</v>
      </c>
      <c r="C679" s="14">
        <v>46082</v>
      </c>
      <c r="D679" s="16" t="s">
        <v>32</v>
      </c>
      <c r="E679" s="17">
        <v>8500</v>
      </c>
      <c r="F679" s="13">
        <v>120</v>
      </c>
      <c r="G679" s="13">
        <v>945</v>
      </c>
      <c r="H679" s="19">
        <v>300000</v>
      </c>
      <c r="I679" s="19">
        <v>85000</v>
      </c>
      <c r="J679" s="20" t="s">
        <v>33</v>
      </c>
      <c r="K679" s="13">
        <v>60</v>
      </c>
      <c r="L679" s="21" t="s">
        <v>59</v>
      </c>
      <c r="M679" s="21" t="s">
        <v>67</v>
      </c>
      <c r="N679" s="16" t="s">
        <v>40</v>
      </c>
      <c r="O679" t="str">
        <f>IF(TRIM(J679)="","NULL",IFERROR(VLOOKUP(TRIM(J679),Lookup_PropertyType!$A:$B,2,FALSE()),"other"))</f>
        <v>apartment</v>
      </c>
      <c r="P679">
        <f t="shared" si="10"/>
        <v>1</v>
      </c>
    </row>
    <row r="680" spans="1:16" ht="15.75" customHeight="1" x14ac:dyDescent="0.35">
      <c r="A680" s="13">
        <v>679</v>
      </c>
      <c r="B680" s="14">
        <v>45934</v>
      </c>
      <c r="C680" s="15"/>
      <c r="D680" s="16" t="s">
        <v>58</v>
      </c>
      <c r="E680" s="17">
        <v>9000</v>
      </c>
      <c r="F680" s="13">
        <v>120</v>
      </c>
      <c r="G680" s="13">
        <v>875</v>
      </c>
      <c r="H680" s="19">
        <v>300000</v>
      </c>
      <c r="I680" s="19">
        <v>130000</v>
      </c>
      <c r="J680" s="20" t="s">
        <v>33</v>
      </c>
      <c r="K680" s="13">
        <v>43</v>
      </c>
      <c r="L680" s="21" t="s">
        <v>64</v>
      </c>
      <c r="M680" s="21" t="s">
        <v>39</v>
      </c>
      <c r="N680" s="16" t="s">
        <v>36</v>
      </c>
      <c r="O680" t="str">
        <f>IF(TRIM(J680)="","NULL",IFERROR(VLOOKUP(TRIM(J680),Lookup_PropertyType!$A:$B,2,FALSE()),"other"))</f>
        <v>apartment</v>
      </c>
      <c r="P680">
        <f t="shared" si="10"/>
        <v>0</v>
      </c>
    </row>
    <row r="681" spans="1:16" ht="15.75" customHeight="1" x14ac:dyDescent="0.35">
      <c r="A681" s="13">
        <v>680</v>
      </c>
      <c r="B681" s="14">
        <v>45878</v>
      </c>
      <c r="C681" s="15"/>
      <c r="D681" s="16" t="s">
        <v>32</v>
      </c>
      <c r="E681" s="17">
        <v>15000</v>
      </c>
      <c r="F681" s="13">
        <v>180</v>
      </c>
      <c r="G681" s="13">
        <v>555</v>
      </c>
      <c r="H681" s="19">
        <v>450000</v>
      </c>
      <c r="I681" s="19">
        <v>30000</v>
      </c>
      <c r="J681" s="20" t="s">
        <v>33</v>
      </c>
      <c r="K681" s="13">
        <v>50</v>
      </c>
      <c r="L681" s="21" t="s">
        <v>38</v>
      </c>
      <c r="M681" s="21" t="s">
        <v>67</v>
      </c>
      <c r="N681" s="16" t="s">
        <v>51</v>
      </c>
      <c r="O681" t="str">
        <f>IF(TRIM(J681)="","NULL",IFERROR(VLOOKUP(TRIM(J681),Lookup_PropertyType!$A:$B,2,FALSE()),"other"))</f>
        <v>apartment</v>
      </c>
      <c r="P681">
        <f t="shared" si="10"/>
        <v>0</v>
      </c>
    </row>
    <row r="682" spans="1:16" ht="15.75" customHeight="1" x14ac:dyDescent="0.35">
      <c r="A682" s="13">
        <v>681</v>
      </c>
      <c r="B682" s="14">
        <v>45940</v>
      </c>
      <c r="C682" s="15"/>
      <c r="D682" s="16" t="s">
        <v>32</v>
      </c>
      <c r="E682" s="17">
        <v>10000</v>
      </c>
      <c r="F682" s="13">
        <v>180</v>
      </c>
      <c r="G682" s="13">
        <v>766</v>
      </c>
      <c r="H682" s="19">
        <v>200000</v>
      </c>
      <c r="I682" s="19">
        <v>100000</v>
      </c>
      <c r="J682" s="20" t="s">
        <v>37</v>
      </c>
      <c r="K682" s="13">
        <v>55</v>
      </c>
      <c r="L682" s="21" t="s">
        <v>45</v>
      </c>
      <c r="M682" s="21" t="s">
        <v>48</v>
      </c>
      <c r="N682" s="16" t="s">
        <v>50</v>
      </c>
      <c r="O682" t="str">
        <f>IF(TRIM(J682)="","NULL",IFERROR(VLOOKUP(TRIM(J682),Lookup_PropertyType!$A:$B,2,FALSE()),"other"))</f>
        <v>house</v>
      </c>
      <c r="P682">
        <f t="shared" si="10"/>
        <v>0</v>
      </c>
    </row>
    <row r="683" spans="1:16" ht="15.75" customHeight="1" x14ac:dyDescent="0.35">
      <c r="A683" s="13">
        <v>682</v>
      </c>
      <c r="B683" s="14">
        <v>45890</v>
      </c>
      <c r="C683" s="14">
        <v>45961</v>
      </c>
      <c r="D683" s="16" t="s">
        <v>49</v>
      </c>
      <c r="E683" s="17">
        <v>8000</v>
      </c>
      <c r="F683" s="13">
        <v>180</v>
      </c>
      <c r="G683" s="13">
        <v>455</v>
      </c>
      <c r="H683" s="19">
        <v>310000</v>
      </c>
      <c r="I683" s="19">
        <v>150000</v>
      </c>
      <c r="J683" s="20" t="s">
        <v>37</v>
      </c>
      <c r="K683" s="13">
        <v>46</v>
      </c>
      <c r="L683" s="21" t="s">
        <v>59</v>
      </c>
      <c r="M683" s="21" t="s">
        <v>39</v>
      </c>
      <c r="N683" s="16" t="s">
        <v>42</v>
      </c>
      <c r="O683" t="str">
        <f>IF(TRIM(J683)="","NULL",IFERROR(VLOOKUP(TRIM(J683),Lookup_PropertyType!$A:$B,2,FALSE()),"other"))</f>
        <v>house</v>
      </c>
      <c r="P683">
        <f t="shared" si="10"/>
        <v>1</v>
      </c>
    </row>
    <row r="684" spans="1:16" ht="15.75" customHeight="1" x14ac:dyDescent="0.35">
      <c r="A684" s="13">
        <v>683</v>
      </c>
      <c r="B684" s="14">
        <v>45880</v>
      </c>
      <c r="C684" s="14">
        <v>45936</v>
      </c>
      <c r="D684" s="16" t="s">
        <v>57</v>
      </c>
      <c r="E684" s="17">
        <v>15000</v>
      </c>
      <c r="F684" s="13">
        <v>90</v>
      </c>
      <c r="G684" s="13">
        <v>303</v>
      </c>
      <c r="H684" s="19">
        <v>285000</v>
      </c>
      <c r="I684" s="19">
        <v>70000</v>
      </c>
      <c r="J684" s="20" t="s">
        <v>33</v>
      </c>
      <c r="K684" s="13">
        <v>71</v>
      </c>
      <c r="L684" s="21" t="s">
        <v>64</v>
      </c>
      <c r="M684" s="21" t="s">
        <v>39</v>
      </c>
      <c r="N684" s="16" t="s">
        <v>43</v>
      </c>
      <c r="O684" t="str">
        <f>IF(TRIM(J684)="","NULL",IFERROR(VLOOKUP(TRIM(J684),Lookup_PropertyType!$A:$B,2,FALSE()),"other"))</f>
        <v>apartment</v>
      </c>
      <c r="P684">
        <f t="shared" si="10"/>
        <v>1</v>
      </c>
    </row>
    <row r="685" spans="1:16" ht="15.75" customHeight="1" x14ac:dyDescent="0.35">
      <c r="A685" s="13">
        <v>684</v>
      </c>
      <c r="B685" s="14">
        <v>45894</v>
      </c>
      <c r="C685" s="15"/>
      <c r="D685" s="16" t="s">
        <v>58</v>
      </c>
      <c r="E685" s="17">
        <v>12000</v>
      </c>
      <c r="F685" s="13">
        <v>180</v>
      </c>
      <c r="G685" s="13">
        <v>425</v>
      </c>
      <c r="H685" s="19">
        <v>1000000</v>
      </c>
      <c r="I685" s="19">
        <v>30000</v>
      </c>
      <c r="J685" s="20" t="s">
        <v>33</v>
      </c>
      <c r="K685" s="13">
        <v>39</v>
      </c>
      <c r="L685" s="21" t="s">
        <v>38</v>
      </c>
      <c r="M685" s="21" t="s">
        <v>39</v>
      </c>
      <c r="N685" s="16" t="s">
        <v>42</v>
      </c>
      <c r="O685" t="str">
        <f>IF(TRIM(J685)="","NULL",IFERROR(VLOOKUP(TRIM(J685),Lookup_PropertyType!$A:$B,2,FALSE()),"other"))</f>
        <v>apartment</v>
      </c>
      <c r="P685">
        <f t="shared" si="10"/>
        <v>0</v>
      </c>
    </row>
    <row r="686" spans="1:16" ht="15.75" customHeight="1" x14ac:dyDescent="0.35">
      <c r="A686" s="13">
        <v>685</v>
      </c>
      <c r="B686" s="14">
        <v>45880</v>
      </c>
      <c r="C686" s="14">
        <v>45991</v>
      </c>
      <c r="D686" s="16" t="s">
        <v>32</v>
      </c>
      <c r="E686" s="17">
        <v>10000</v>
      </c>
      <c r="F686" s="13">
        <v>180</v>
      </c>
      <c r="G686" s="13">
        <v>959</v>
      </c>
      <c r="H686" s="19">
        <v>700000</v>
      </c>
      <c r="I686" s="19">
        <v>70000</v>
      </c>
      <c r="J686" s="20" t="s">
        <v>37</v>
      </c>
      <c r="K686" s="13">
        <v>62</v>
      </c>
      <c r="L686" s="21" t="s">
        <v>45</v>
      </c>
      <c r="M686" s="21" t="s">
        <v>39</v>
      </c>
      <c r="N686" s="16" t="s">
        <v>36</v>
      </c>
      <c r="O686" t="str">
        <f>IF(TRIM(J686)="","NULL",IFERROR(VLOOKUP(TRIM(J686),Lookup_PropertyType!$A:$B,2,FALSE()),"other"))</f>
        <v>house</v>
      </c>
      <c r="P686">
        <f t="shared" si="10"/>
        <v>1</v>
      </c>
    </row>
    <row r="687" spans="1:16" ht="15.75" customHeight="1" x14ac:dyDescent="0.35">
      <c r="A687" s="13">
        <v>686</v>
      </c>
      <c r="B687" s="14">
        <v>45887</v>
      </c>
      <c r="C687" s="15"/>
      <c r="D687" s="16" t="s">
        <v>44</v>
      </c>
      <c r="E687" s="17">
        <v>13000</v>
      </c>
      <c r="F687" s="13">
        <v>120</v>
      </c>
      <c r="G687" s="13">
        <v>664</v>
      </c>
      <c r="H687" s="19">
        <v>600000</v>
      </c>
      <c r="I687" s="19">
        <v>250000</v>
      </c>
      <c r="J687" s="20" t="s">
        <v>37</v>
      </c>
      <c r="K687" s="13">
        <v>45</v>
      </c>
      <c r="L687" s="21" t="s">
        <v>38</v>
      </c>
      <c r="M687" s="21" t="s">
        <v>39</v>
      </c>
      <c r="N687" s="16" t="s">
        <v>42</v>
      </c>
      <c r="O687" t="str">
        <f>IF(TRIM(J687)="","NULL",IFERROR(VLOOKUP(TRIM(J687),Lookup_PropertyType!$A:$B,2,FALSE()),"other"))</f>
        <v>house</v>
      </c>
      <c r="P687">
        <f t="shared" si="10"/>
        <v>0</v>
      </c>
    </row>
    <row r="688" spans="1:16" ht="15.75" customHeight="1" x14ac:dyDescent="0.35">
      <c r="A688" s="13">
        <v>687</v>
      </c>
      <c r="B688" s="14">
        <v>45892</v>
      </c>
      <c r="C688" s="15"/>
      <c r="D688" s="16" t="s">
        <v>66</v>
      </c>
      <c r="E688" s="17">
        <v>11500</v>
      </c>
      <c r="F688" s="13">
        <v>180</v>
      </c>
      <c r="G688" s="13">
        <v>666</v>
      </c>
      <c r="H688" s="19">
        <v>450000</v>
      </c>
      <c r="I688" s="19">
        <v>200000</v>
      </c>
      <c r="J688" s="20" t="s">
        <v>33</v>
      </c>
      <c r="K688" s="13">
        <v>43</v>
      </c>
      <c r="L688" s="21" t="s">
        <v>64</v>
      </c>
      <c r="M688" s="21" t="s">
        <v>39</v>
      </c>
      <c r="N688" s="16" t="s">
        <v>50</v>
      </c>
      <c r="O688" t="str">
        <f>IF(TRIM(J688)="","NULL",IFERROR(VLOOKUP(TRIM(J688),Lookup_PropertyType!$A:$B,2,FALSE()),"other"))</f>
        <v>apartment</v>
      </c>
      <c r="P688">
        <f t="shared" si="10"/>
        <v>0</v>
      </c>
    </row>
    <row r="689" spans="1:16" ht="15.75" customHeight="1" x14ac:dyDescent="0.35">
      <c r="A689" s="13">
        <v>688</v>
      </c>
      <c r="B689" s="14">
        <v>45897</v>
      </c>
      <c r="C689" s="15"/>
      <c r="D689" s="16" t="s">
        <v>32</v>
      </c>
      <c r="E689" s="17">
        <v>7000</v>
      </c>
      <c r="F689" s="13">
        <v>90</v>
      </c>
      <c r="G689" s="13">
        <v>830</v>
      </c>
      <c r="H689" s="19">
        <v>900000</v>
      </c>
      <c r="I689" s="19">
        <v>200000</v>
      </c>
      <c r="J689" s="20" t="s">
        <v>37</v>
      </c>
      <c r="K689" s="13">
        <v>73</v>
      </c>
      <c r="L689" s="21" t="s">
        <v>38</v>
      </c>
      <c r="M689" s="21" t="s">
        <v>35</v>
      </c>
      <c r="N689" s="16" t="s">
        <v>36</v>
      </c>
      <c r="O689" t="str">
        <f>IF(TRIM(J689)="","NULL",IFERROR(VLOOKUP(TRIM(J689),Lookup_PropertyType!$A:$B,2,FALSE()),"other"))</f>
        <v>house</v>
      </c>
      <c r="P689">
        <f t="shared" si="10"/>
        <v>0</v>
      </c>
    </row>
    <row r="690" spans="1:16" ht="15.75" customHeight="1" x14ac:dyDescent="0.35">
      <c r="A690" s="13">
        <v>689</v>
      </c>
      <c r="B690" s="14">
        <v>45887</v>
      </c>
      <c r="C690" s="15"/>
      <c r="D690" s="16" t="s">
        <v>44</v>
      </c>
      <c r="E690" s="17">
        <v>8435</v>
      </c>
      <c r="F690" s="13">
        <v>90</v>
      </c>
      <c r="G690" s="13">
        <v>745</v>
      </c>
      <c r="H690" s="19">
        <v>300000</v>
      </c>
      <c r="I690" s="19">
        <v>160000</v>
      </c>
      <c r="J690" s="20" t="s">
        <v>33</v>
      </c>
      <c r="K690" s="13">
        <v>47</v>
      </c>
      <c r="L690" s="21" t="s">
        <v>34</v>
      </c>
      <c r="M690" s="21" t="s">
        <v>39</v>
      </c>
      <c r="N690" s="16" t="s">
        <v>42</v>
      </c>
      <c r="O690" t="str">
        <f>IF(TRIM(J690)="","NULL",IFERROR(VLOOKUP(TRIM(J690),Lookup_PropertyType!$A:$B,2,FALSE()),"other"))</f>
        <v>apartment</v>
      </c>
      <c r="P690">
        <f t="shared" si="10"/>
        <v>0</v>
      </c>
    </row>
    <row r="691" spans="1:16" ht="15.75" customHeight="1" x14ac:dyDescent="0.35">
      <c r="A691" s="13">
        <v>690</v>
      </c>
      <c r="B691" s="14">
        <v>45892</v>
      </c>
      <c r="C691" s="15"/>
      <c r="D691" s="16" t="s">
        <v>32</v>
      </c>
      <c r="E691" s="17">
        <v>15000</v>
      </c>
      <c r="F691" s="13">
        <v>180</v>
      </c>
      <c r="G691" s="13">
        <v>639</v>
      </c>
      <c r="H691" s="19">
        <v>400000</v>
      </c>
      <c r="I691" s="19">
        <v>50000</v>
      </c>
      <c r="J691" s="20" t="s">
        <v>37</v>
      </c>
      <c r="K691" s="13">
        <v>73</v>
      </c>
      <c r="L691" s="21" t="s">
        <v>38</v>
      </c>
      <c r="M691" s="21" t="s">
        <v>39</v>
      </c>
      <c r="N691" s="16" t="s">
        <v>36</v>
      </c>
      <c r="O691" t="str">
        <f>IF(TRIM(J691)="","NULL",IFERROR(VLOOKUP(TRIM(J691),Lookup_PropertyType!$A:$B,2,FALSE()),"other"))</f>
        <v>house</v>
      </c>
      <c r="P691">
        <f t="shared" si="10"/>
        <v>0</v>
      </c>
    </row>
    <row r="692" spans="1:16" ht="15.75" customHeight="1" x14ac:dyDescent="0.35">
      <c r="A692" s="13">
        <v>691</v>
      </c>
      <c r="B692" s="14">
        <v>45885</v>
      </c>
      <c r="C692" s="15"/>
      <c r="D692" s="16" t="s">
        <v>32</v>
      </c>
      <c r="E692" s="17">
        <v>15000</v>
      </c>
      <c r="F692" s="13">
        <v>180</v>
      </c>
      <c r="G692" s="13">
        <v>982</v>
      </c>
      <c r="H692" s="19">
        <v>700000</v>
      </c>
      <c r="I692" s="19">
        <v>60000</v>
      </c>
      <c r="J692" s="20" t="s">
        <v>33</v>
      </c>
      <c r="K692" s="13">
        <v>31</v>
      </c>
      <c r="L692" s="21" t="s">
        <v>41</v>
      </c>
      <c r="M692" s="21" t="s">
        <v>39</v>
      </c>
      <c r="N692" s="16" t="s">
        <v>36</v>
      </c>
      <c r="O692" t="str">
        <f>IF(TRIM(J692)="","NULL",IFERROR(VLOOKUP(TRIM(J692),Lookup_PropertyType!$A:$B,2,FALSE()),"other"))</f>
        <v>apartment</v>
      </c>
      <c r="P692">
        <f t="shared" si="10"/>
        <v>0</v>
      </c>
    </row>
    <row r="693" spans="1:16" ht="15.75" customHeight="1" x14ac:dyDescent="0.35">
      <c r="A693" s="13">
        <v>692</v>
      </c>
      <c r="B693" s="14">
        <v>45975</v>
      </c>
      <c r="C693" s="15"/>
      <c r="D693" s="16" t="s">
        <v>32</v>
      </c>
      <c r="E693" s="17">
        <v>15000</v>
      </c>
      <c r="F693" s="13">
        <v>180</v>
      </c>
      <c r="G693" s="13">
        <v>427</v>
      </c>
      <c r="H693" s="19">
        <v>200000</v>
      </c>
      <c r="I693" s="19">
        <v>70000</v>
      </c>
      <c r="J693" s="20" t="s">
        <v>33</v>
      </c>
      <c r="K693" s="13">
        <v>53</v>
      </c>
      <c r="L693" s="21" t="s">
        <v>45</v>
      </c>
      <c r="M693" s="21" t="s">
        <v>35</v>
      </c>
      <c r="N693" s="16" t="s">
        <v>51</v>
      </c>
      <c r="O693" t="str">
        <f>IF(TRIM(J693)="","NULL",IFERROR(VLOOKUP(TRIM(J693),Lookup_PropertyType!$A:$B,2,FALSE()),"other"))</f>
        <v>apartment</v>
      </c>
      <c r="P693">
        <f t="shared" si="10"/>
        <v>0</v>
      </c>
    </row>
    <row r="694" spans="1:16" ht="15.75" customHeight="1" x14ac:dyDescent="0.35">
      <c r="A694" s="13">
        <v>693</v>
      </c>
      <c r="B694" s="14">
        <v>45890</v>
      </c>
      <c r="C694" s="15"/>
      <c r="D694" s="16" t="s">
        <v>32</v>
      </c>
      <c r="E694" s="17">
        <v>48000</v>
      </c>
      <c r="F694" s="13">
        <v>180</v>
      </c>
      <c r="G694" s="13">
        <v>892</v>
      </c>
      <c r="H694" s="19">
        <v>1400000</v>
      </c>
      <c r="I694" s="19">
        <v>450000</v>
      </c>
      <c r="J694" s="20" t="s">
        <v>37</v>
      </c>
      <c r="K694" s="13">
        <v>73</v>
      </c>
      <c r="L694" s="21" t="s">
        <v>38</v>
      </c>
      <c r="M694" s="21" t="s">
        <v>39</v>
      </c>
      <c r="N694" s="16" t="s">
        <v>43</v>
      </c>
      <c r="O694" t="str">
        <f>IF(TRIM(J694)="","NULL",IFERROR(VLOOKUP(TRIM(J694),Lookup_PropertyType!$A:$B,2,FALSE()),"other"))</f>
        <v>house</v>
      </c>
      <c r="P694">
        <f t="shared" si="10"/>
        <v>0</v>
      </c>
    </row>
    <row r="695" spans="1:16" ht="15.75" customHeight="1" x14ac:dyDescent="0.35">
      <c r="A695" s="13">
        <v>694</v>
      </c>
      <c r="B695" s="14">
        <v>45892</v>
      </c>
      <c r="C695" s="15"/>
      <c r="D695" s="16" t="s">
        <v>44</v>
      </c>
      <c r="E695" s="17">
        <v>9000</v>
      </c>
      <c r="F695" s="13">
        <v>150</v>
      </c>
      <c r="G695" s="13">
        <v>408</v>
      </c>
      <c r="H695" s="19">
        <v>380000</v>
      </c>
      <c r="I695" s="19">
        <v>100000</v>
      </c>
      <c r="J695" s="20" t="s">
        <v>33</v>
      </c>
      <c r="K695" s="13">
        <v>62</v>
      </c>
      <c r="L695" s="21" t="s">
        <v>41</v>
      </c>
      <c r="M695" s="21" t="s">
        <v>39</v>
      </c>
      <c r="N695" s="16" t="s">
        <v>43</v>
      </c>
      <c r="O695" t="str">
        <f>IF(TRIM(J695)="","NULL",IFERROR(VLOOKUP(TRIM(J695),Lookup_PropertyType!$A:$B,2,FALSE()),"other"))</f>
        <v>apartment</v>
      </c>
      <c r="P695">
        <f t="shared" si="10"/>
        <v>0</v>
      </c>
    </row>
    <row r="696" spans="1:16" ht="15.75" customHeight="1" x14ac:dyDescent="0.35">
      <c r="A696" s="13">
        <v>695</v>
      </c>
      <c r="B696" s="14">
        <v>45883</v>
      </c>
      <c r="C696" s="14">
        <v>45926</v>
      </c>
      <c r="D696" s="16" t="s">
        <v>32</v>
      </c>
      <c r="E696" s="17">
        <v>30000</v>
      </c>
      <c r="F696" s="13">
        <v>180</v>
      </c>
      <c r="G696" s="13">
        <v>933</v>
      </c>
      <c r="H696" s="19">
        <v>2300000</v>
      </c>
      <c r="I696" s="19">
        <v>300000</v>
      </c>
      <c r="J696" s="20" t="s">
        <v>33</v>
      </c>
      <c r="K696" s="13">
        <v>42</v>
      </c>
      <c r="L696" s="21" t="s">
        <v>59</v>
      </c>
      <c r="M696" s="21" t="s">
        <v>39</v>
      </c>
      <c r="N696" s="16" t="s">
        <v>40</v>
      </c>
      <c r="O696" t="str">
        <f>IF(TRIM(J696)="","NULL",IFERROR(VLOOKUP(TRIM(J696),Lookup_PropertyType!$A:$B,2,FALSE()),"other"))</f>
        <v>apartment</v>
      </c>
      <c r="P696">
        <f t="shared" si="10"/>
        <v>1</v>
      </c>
    </row>
    <row r="697" spans="1:16" ht="15.75" customHeight="1" x14ac:dyDescent="0.35">
      <c r="A697" s="13">
        <v>696</v>
      </c>
      <c r="B697" s="14">
        <v>45891</v>
      </c>
      <c r="C697" s="14">
        <v>45932</v>
      </c>
      <c r="D697" s="16" t="s">
        <v>32</v>
      </c>
      <c r="E697" s="17">
        <v>20000</v>
      </c>
      <c r="F697" s="13">
        <v>180</v>
      </c>
      <c r="G697" s="13">
        <v>617</v>
      </c>
      <c r="H697" s="19">
        <v>350000</v>
      </c>
      <c r="I697" s="19">
        <v>100000</v>
      </c>
      <c r="J697" s="20" t="s">
        <v>33</v>
      </c>
      <c r="K697" s="13">
        <v>53</v>
      </c>
      <c r="L697" s="21" t="s">
        <v>45</v>
      </c>
      <c r="M697" s="21" t="s">
        <v>39</v>
      </c>
      <c r="N697" s="16" t="s">
        <v>40</v>
      </c>
      <c r="O697" t="str">
        <f>IF(TRIM(J697)="","NULL",IFERROR(VLOOKUP(TRIM(J697),Lookup_PropertyType!$A:$B,2,FALSE()),"other"))</f>
        <v>apartment</v>
      </c>
      <c r="P697">
        <f t="shared" si="10"/>
        <v>1</v>
      </c>
    </row>
    <row r="698" spans="1:16" ht="15.75" customHeight="1" x14ac:dyDescent="0.35">
      <c r="A698" s="13">
        <v>697</v>
      </c>
      <c r="B698" s="14">
        <v>45890</v>
      </c>
      <c r="C698" s="15"/>
      <c r="D698" s="16" t="s">
        <v>32</v>
      </c>
      <c r="E698" s="17">
        <v>25000</v>
      </c>
      <c r="F698" s="13">
        <v>180</v>
      </c>
      <c r="G698" s="13">
        <v>875</v>
      </c>
      <c r="H698" s="19">
        <v>470000</v>
      </c>
      <c r="I698" s="19">
        <v>150000</v>
      </c>
      <c r="J698" s="20" t="s">
        <v>33</v>
      </c>
      <c r="K698" s="13">
        <v>62</v>
      </c>
      <c r="L698" s="21" t="s">
        <v>34</v>
      </c>
      <c r="M698" s="21" t="s">
        <v>39</v>
      </c>
      <c r="N698" s="16" t="s">
        <v>40</v>
      </c>
      <c r="O698" t="str">
        <f>IF(TRIM(J698)="","NULL",IFERROR(VLOOKUP(TRIM(J698),Lookup_PropertyType!$A:$B,2,FALSE()),"other"))</f>
        <v>apartment</v>
      </c>
      <c r="P698">
        <f t="shared" si="10"/>
        <v>0</v>
      </c>
    </row>
    <row r="699" spans="1:16" ht="15.75" customHeight="1" x14ac:dyDescent="0.35">
      <c r="A699" s="13">
        <v>698</v>
      </c>
      <c r="B699" s="14">
        <v>45887</v>
      </c>
      <c r="C699" s="15"/>
      <c r="D699" s="16" t="s">
        <v>32</v>
      </c>
      <c r="E699" s="17">
        <v>30000</v>
      </c>
      <c r="F699" s="13">
        <v>180</v>
      </c>
      <c r="G699" s="13">
        <v>900</v>
      </c>
      <c r="H699" s="19">
        <v>1700000</v>
      </c>
      <c r="I699" s="19">
        <v>800000</v>
      </c>
      <c r="J699" s="20" t="s">
        <v>33</v>
      </c>
      <c r="K699" s="13">
        <v>54</v>
      </c>
      <c r="L699" s="21" t="s">
        <v>45</v>
      </c>
      <c r="M699" s="21" t="s">
        <v>39</v>
      </c>
      <c r="N699" s="16" t="s">
        <v>36</v>
      </c>
      <c r="O699" t="str">
        <f>IF(TRIM(J699)="","NULL",IFERROR(VLOOKUP(TRIM(J699),Lookup_PropertyType!$A:$B,2,FALSE()),"other"))</f>
        <v>apartment</v>
      </c>
      <c r="P699">
        <f t="shared" si="10"/>
        <v>0</v>
      </c>
    </row>
    <row r="700" spans="1:16" ht="15.75" customHeight="1" x14ac:dyDescent="0.35">
      <c r="A700" s="13">
        <v>699</v>
      </c>
      <c r="B700" s="14">
        <v>45946</v>
      </c>
      <c r="C700" s="14">
        <v>46045</v>
      </c>
      <c r="D700" s="16" t="s">
        <v>32</v>
      </c>
      <c r="E700" s="17">
        <v>7000</v>
      </c>
      <c r="F700" s="13">
        <v>120</v>
      </c>
      <c r="G700" s="13">
        <v>989</v>
      </c>
      <c r="H700" s="19">
        <v>750000</v>
      </c>
      <c r="I700" s="19">
        <v>100000</v>
      </c>
      <c r="J700" s="20" t="s">
        <v>33</v>
      </c>
      <c r="K700" s="13">
        <v>61</v>
      </c>
      <c r="L700" s="21" t="s">
        <v>45</v>
      </c>
      <c r="M700" s="21" t="s">
        <v>39</v>
      </c>
      <c r="N700" s="16" t="s">
        <v>36</v>
      </c>
      <c r="O700" t="str">
        <f>IF(TRIM(J700)="","NULL",IFERROR(VLOOKUP(TRIM(J700),Lookup_PropertyType!$A:$B,2,FALSE()),"other"))</f>
        <v>apartment</v>
      </c>
      <c r="P700">
        <f t="shared" si="10"/>
        <v>1</v>
      </c>
    </row>
    <row r="701" spans="1:16" ht="15.75" customHeight="1" x14ac:dyDescent="0.35">
      <c r="A701" s="13">
        <v>700</v>
      </c>
      <c r="B701" s="14">
        <v>45891</v>
      </c>
      <c r="C701" s="15"/>
      <c r="D701" s="16" t="s">
        <v>32</v>
      </c>
      <c r="E701" s="17">
        <v>3500</v>
      </c>
      <c r="F701" s="13">
        <v>120</v>
      </c>
      <c r="G701" s="13">
        <v>991</v>
      </c>
      <c r="H701" s="19">
        <v>300000</v>
      </c>
      <c r="I701" s="19">
        <v>40000</v>
      </c>
      <c r="J701" s="20" t="s">
        <v>33</v>
      </c>
      <c r="K701" s="13">
        <v>47</v>
      </c>
      <c r="L701" s="21" t="s">
        <v>38</v>
      </c>
      <c r="M701" s="21" t="s">
        <v>39</v>
      </c>
      <c r="N701" s="16" t="s">
        <v>42</v>
      </c>
      <c r="O701" t="str">
        <f>IF(TRIM(J701)="","NULL",IFERROR(VLOOKUP(TRIM(J701),Lookup_PropertyType!$A:$B,2,FALSE()),"other"))</f>
        <v>apartment</v>
      </c>
      <c r="P701">
        <f t="shared" si="10"/>
        <v>0</v>
      </c>
    </row>
    <row r="702" spans="1:16" ht="15.75" customHeight="1" x14ac:dyDescent="0.35">
      <c r="A702" s="13">
        <v>701</v>
      </c>
      <c r="B702" s="14">
        <v>45901</v>
      </c>
      <c r="C702" s="15"/>
      <c r="D702" s="16" t="s">
        <v>32</v>
      </c>
      <c r="E702" s="17">
        <v>30000</v>
      </c>
      <c r="F702" s="13">
        <v>180</v>
      </c>
      <c r="G702" s="13">
        <v>474</v>
      </c>
      <c r="H702" s="19">
        <v>2200000</v>
      </c>
      <c r="I702" s="19">
        <v>700000</v>
      </c>
      <c r="J702" s="20" t="s">
        <v>33</v>
      </c>
      <c r="K702" s="13">
        <v>61</v>
      </c>
      <c r="L702" s="21" t="s">
        <v>41</v>
      </c>
      <c r="M702" s="21" t="s">
        <v>39</v>
      </c>
      <c r="N702" s="16" t="s">
        <v>36</v>
      </c>
      <c r="O702" t="str">
        <f>IF(TRIM(J702)="","NULL",IFERROR(VLOOKUP(TRIM(J702),Lookup_PropertyType!$A:$B,2,FALSE()),"other"))</f>
        <v>apartment</v>
      </c>
      <c r="P702">
        <f t="shared" si="10"/>
        <v>0</v>
      </c>
    </row>
    <row r="703" spans="1:16" ht="15.75" customHeight="1" x14ac:dyDescent="0.35">
      <c r="A703" s="13">
        <v>702</v>
      </c>
      <c r="B703" s="14">
        <v>45892</v>
      </c>
      <c r="C703" s="15"/>
      <c r="D703" s="16" t="s">
        <v>32</v>
      </c>
      <c r="E703" s="17">
        <v>20000</v>
      </c>
      <c r="F703" s="13">
        <v>180</v>
      </c>
      <c r="G703" s="13">
        <v>407</v>
      </c>
      <c r="H703" s="19">
        <v>1150000</v>
      </c>
      <c r="I703" s="19">
        <v>380000</v>
      </c>
      <c r="J703" s="20" t="s">
        <v>37</v>
      </c>
      <c r="K703" s="13">
        <v>39</v>
      </c>
      <c r="L703" s="21" t="s">
        <v>64</v>
      </c>
      <c r="M703" s="21" t="s">
        <v>39</v>
      </c>
      <c r="N703" s="16" t="s">
        <v>36</v>
      </c>
      <c r="O703" t="str">
        <f>IF(TRIM(J703)="","NULL",IFERROR(VLOOKUP(TRIM(J703),Lookup_PropertyType!$A:$B,2,FALSE()),"other"))</f>
        <v>house</v>
      </c>
      <c r="P703">
        <f t="shared" si="10"/>
        <v>0</v>
      </c>
    </row>
    <row r="704" spans="1:16" ht="15.75" customHeight="1" x14ac:dyDescent="0.35">
      <c r="A704" s="13">
        <v>703</v>
      </c>
      <c r="B704" s="14">
        <v>45890</v>
      </c>
      <c r="C704" s="15"/>
      <c r="D704" s="16" t="s">
        <v>83</v>
      </c>
      <c r="E704" s="17">
        <v>14000</v>
      </c>
      <c r="F704" s="13">
        <v>180</v>
      </c>
      <c r="G704" s="13">
        <v>288</v>
      </c>
      <c r="H704" s="19">
        <v>450000</v>
      </c>
      <c r="I704" s="19">
        <v>100000</v>
      </c>
      <c r="J704" s="20" t="s">
        <v>37</v>
      </c>
      <c r="K704" s="13">
        <v>30</v>
      </c>
      <c r="L704" s="21" t="s">
        <v>38</v>
      </c>
      <c r="M704" s="21" t="s">
        <v>72</v>
      </c>
      <c r="N704" s="16" t="s">
        <v>36</v>
      </c>
      <c r="O704" t="str">
        <f>IF(TRIM(J704)="","NULL",IFERROR(VLOOKUP(TRIM(J704),Lookup_PropertyType!$A:$B,2,FALSE()),"other"))</f>
        <v>house</v>
      </c>
      <c r="P704">
        <f t="shared" si="10"/>
        <v>0</v>
      </c>
    </row>
    <row r="705" spans="1:16" ht="15.75" customHeight="1" x14ac:dyDescent="0.35">
      <c r="A705" s="13">
        <v>704</v>
      </c>
      <c r="B705" s="14">
        <v>45908</v>
      </c>
      <c r="C705" s="15"/>
      <c r="D705" s="16" t="s">
        <v>55</v>
      </c>
      <c r="E705" s="17">
        <v>13500</v>
      </c>
      <c r="F705" s="13">
        <v>90</v>
      </c>
      <c r="G705" s="13">
        <v>428</v>
      </c>
      <c r="H705" s="19">
        <v>350000</v>
      </c>
      <c r="I705" s="19">
        <v>30000</v>
      </c>
      <c r="J705" s="20" t="s">
        <v>33</v>
      </c>
      <c r="K705" s="13">
        <v>44</v>
      </c>
      <c r="L705" s="21" t="s">
        <v>34</v>
      </c>
      <c r="M705" s="21" t="s">
        <v>39</v>
      </c>
      <c r="N705" s="16" t="s">
        <v>36</v>
      </c>
      <c r="O705" t="str">
        <f>IF(TRIM(J705)="","NULL",IFERROR(VLOOKUP(TRIM(J705),Lookup_PropertyType!$A:$B,2,FALSE()),"other"))</f>
        <v>apartment</v>
      </c>
      <c r="P705">
        <f t="shared" si="10"/>
        <v>0</v>
      </c>
    </row>
    <row r="706" spans="1:16" ht="15.75" customHeight="1" x14ac:dyDescent="0.35">
      <c r="A706" s="13">
        <v>705</v>
      </c>
      <c r="B706" s="14">
        <v>45919</v>
      </c>
      <c r="C706" s="15"/>
      <c r="D706" s="16" t="s">
        <v>32</v>
      </c>
      <c r="E706" s="17">
        <v>15000</v>
      </c>
      <c r="F706" s="13">
        <v>180</v>
      </c>
      <c r="G706" s="13">
        <v>272</v>
      </c>
      <c r="H706" s="19">
        <v>1000000</v>
      </c>
      <c r="I706" s="19">
        <v>100000</v>
      </c>
      <c r="J706" s="20" t="s">
        <v>33</v>
      </c>
      <c r="K706" s="13">
        <v>52</v>
      </c>
      <c r="L706" s="21" t="s">
        <v>34</v>
      </c>
      <c r="M706" s="21" t="s">
        <v>39</v>
      </c>
      <c r="N706" s="16" t="s">
        <v>40</v>
      </c>
      <c r="O706" t="str">
        <f>IF(TRIM(J706)="","NULL",IFERROR(VLOOKUP(TRIM(J706),Lookup_PropertyType!$A:$B,2,FALSE()),"other"))</f>
        <v>apartment</v>
      </c>
      <c r="P706">
        <f t="shared" ref="P706:P769" si="11">IF(AND(C706&lt;&gt;"",C706&gt;=B706),1,0)</f>
        <v>0</v>
      </c>
    </row>
    <row r="707" spans="1:16" ht="15.75" customHeight="1" x14ac:dyDescent="0.35">
      <c r="A707" s="13">
        <v>706</v>
      </c>
      <c r="B707" s="14">
        <v>45898</v>
      </c>
      <c r="C707" s="15"/>
      <c r="D707" s="16" t="s">
        <v>32</v>
      </c>
      <c r="E707" s="17">
        <v>10000</v>
      </c>
      <c r="F707" s="13">
        <v>180</v>
      </c>
      <c r="G707" s="13">
        <v>827</v>
      </c>
      <c r="H707" s="19">
        <v>380000</v>
      </c>
      <c r="I707" s="19">
        <v>150000</v>
      </c>
      <c r="J707" s="20" t="s">
        <v>37</v>
      </c>
      <c r="K707" s="13">
        <v>46</v>
      </c>
      <c r="L707" s="21" t="s">
        <v>41</v>
      </c>
      <c r="M707" s="21" t="s">
        <v>39</v>
      </c>
      <c r="N707" s="16" t="s">
        <v>36</v>
      </c>
      <c r="O707" t="str">
        <f>IF(TRIM(J707)="","NULL",IFERROR(VLOOKUP(TRIM(J707),Lookup_PropertyType!$A:$B,2,FALSE()),"other"))</f>
        <v>house</v>
      </c>
      <c r="P707">
        <f t="shared" si="11"/>
        <v>0</v>
      </c>
    </row>
    <row r="708" spans="1:16" ht="15.75" customHeight="1" x14ac:dyDescent="0.35">
      <c r="A708" s="13">
        <v>707</v>
      </c>
      <c r="B708" s="14">
        <v>45926</v>
      </c>
      <c r="C708" s="15"/>
      <c r="D708" s="16" t="s">
        <v>32</v>
      </c>
      <c r="E708" s="17">
        <v>22000</v>
      </c>
      <c r="F708" s="13">
        <v>120</v>
      </c>
      <c r="G708" s="13">
        <v>461</v>
      </c>
      <c r="H708" s="19">
        <v>650000</v>
      </c>
      <c r="I708" s="19">
        <v>120000</v>
      </c>
      <c r="J708" s="20" t="s">
        <v>33</v>
      </c>
      <c r="K708" s="13">
        <v>41</v>
      </c>
      <c r="L708" s="21" t="s">
        <v>41</v>
      </c>
      <c r="M708" s="21" t="s">
        <v>39</v>
      </c>
      <c r="N708" s="16" t="s">
        <v>42</v>
      </c>
      <c r="O708" t="str">
        <f>IF(TRIM(J708)="","NULL",IFERROR(VLOOKUP(TRIM(J708),Lookup_PropertyType!$A:$B,2,FALSE()),"other"))</f>
        <v>apartment</v>
      </c>
      <c r="P708">
        <f t="shared" si="11"/>
        <v>0</v>
      </c>
    </row>
    <row r="709" spans="1:16" ht="15.75" customHeight="1" x14ac:dyDescent="0.35">
      <c r="A709" s="13">
        <v>708</v>
      </c>
      <c r="B709" s="14">
        <v>45900</v>
      </c>
      <c r="C709" s="15"/>
      <c r="D709" s="16" t="s">
        <v>32</v>
      </c>
      <c r="E709" s="17">
        <v>20000</v>
      </c>
      <c r="F709" s="13">
        <v>180</v>
      </c>
      <c r="G709" s="13">
        <v>912</v>
      </c>
      <c r="H709" s="19">
        <v>300000</v>
      </c>
      <c r="I709" s="19">
        <v>125000</v>
      </c>
      <c r="J709" s="20" t="s">
        <v>37</v>
      </c>
      <c r="K709" s="13">
        <v>30</v>
      </c>
      <c r="L709" s="21" t="s">
        <v>41</v>
      </c>
      <c r="M709" s="21" t="s">
        <v>39</v>
      </c>
      <c r="N709" s="16" t="s">
        <v>42</v>
      </c>
      <c r="O709" t="str">
        <f>IF(TRIM(J709)="","NULL",IFERROR(VLOOKUP(TRIM(J709),Lookup_PropertyType!$A:$B,2,FALSE()),"other"))</f>
        <v>house</v>
      </c>
      <c r="P709">
        <f t="shared" si="11"/>
        <v>0</v>
      </c>
    </row>
    <row r="710" spans="1:16" ht="15.75" customHeight="1" x14ac:dyDescent="0.35">
      <c r="A710" s="13">
        <v>709</v>
      </c>
      <c r="B710" s="14">
        <v>45891</v>
      </c>
      <c r="C710" s="14">
        <v>45926</v>
      </c>
      <c r="D710" s="16" t="s">
        <v>32</v>
      </c>
      <c r="E710" s="17">
        <v>8000</v>
      </c>
      <c r="F710" s="13">
        <v>90</v>
      </c>
      <c r="G710" s="13">
        <v>253</v>
      </c>
      <c r="H710" s="19">
        <v>480000</v>
      </c>
      <c r="I710" s="19">
        <v>60000</v>
      </c>
      <c r="J710" s="20" t="s">
        <v>33</v>
      </c>
      <c r="K710" s="13">
        <v>46</v>
      </c>
      <c r="L710" s="21" t="s">
        <v>38</v>
      </c>
      <c r="M710" s="21" t="s">
        <v>39</v>
      </c>
      <c r="N710" s="16" t="s">
        <v>42</v>
      </c>
      <c r="O710" t="str">
        <f>IF(TRIM(J710)="","NULL",IFERROR(VLOOKUP(TRIM(J710),Lookup_PropertyType!$A:$B,2,FALSE()),"other"))</f>
        <v>apartment</v>
      </c>
      <c r="P710">
        <f t="shared" si="11"/>
        <v>1</v>
      </c>
    </row>
    <row r="711" spans="1:16" ht="15.75" customHeight="1" x14ac:dyDescent="0.35">
      <c r="A711" s="13">
        <v>710</v>
      </c>
      <c r="B711" s="14">
        <v>45890</v>
      </c>
      <c r="C711" s="15"/>
      <c r="D711" s="16" t="s">
        <v>32</v>
      </c>
      <c r="E711" s="17">
        <v>30000</v>
      </c>
      <c r="F711" s="13">
        <v>90</v>
      </c>
      <c r="G711" s="13">
        <v>905</v>
      </c>
      <c r="H711" s="19">
        <v>800000</v>
      </c>
      <c r="I711" s="19">
        <v>300000</v>
      </c>
      <c r="J711" s="20" t="s">
        <v>37</v>
      </c>
      <c r="K711" s="13">
        <v>64</v>
      </c>
      <c r="L711" s="21" t="s">
        <v>38</v>
      </c>
      <c r="M711" s="21" t="s">
        <v>48</v>
      </c>
      <c r="N711" s="16" t="s">
        <v>36</v>
      </c>
      <c r="O711" t="str">
        <f>IF(TRIM(J711)="","NULL",IFERROR(VLOOKUP(TRIM(J711),Lookup_PropertyType!$A:$B,2,FALSE()),"other"))</f>
        <v>house</v>
      </c>
      <c r="P711">
        <f t="shared" si="11"/>
        <v>0</v>
      </c>
    </row>
    <row r="712" spans="1:16" ht="15.75" customHeight="1" x14ac:dyDescent="0.35">
      <c r="A712" s="13">
        <v>711</v>
      </c>
      <c r="B712" s="14">
        <v>45893</v>
      </c>
      <c r="C712" s="15"/>
      <c r="D712" s="16" t="s">
        <v>32</v>
      </c>
      <c r="E712" s="17">
        <v>4500</v>
      </c>
      <c r="F712" s="13">
        <v>180</v>
      </c>
      <c r="G712" s="13">
        <v>470</v>
      </c>
      <c r="H712" s="19">
        <v>300000</v>
      </c>
      <c r="I712" s="19">
        <v>50000</v>
      </c>
      <c r="J712" s="20" t="s">
        <v>33</v>
      </c>
      <c r="K712" s="13">
        <v>46</v>
      </c>
      <c r="L712" s="21" t="s">
        <v>38</v>
      </c>
      <c r="M712" s="21" t="s">
        <v>54</v>
      </c>
      <c r="N712" s="16" t="s">
        <v>36</v>
      </c>
      <c r="O712" t="str">
        <f>IF(TRIM(J712)="","NULL",IFERROR(VLOOKUP(TRIM(J712),Lookup_PropertyType!$A:$B,2,FALSE()),"other"))</f>
        <v>apartment</v>
      </c>
      <c r="P712">
        <f t="shared" si="11"/>
        <v>0</v>
      </c>
    </row>
    <row r="713" spans="1:16" ht="15.75" customHeight="1" x14ac:dyDescent="0.35">
      <c r="A713" s="13">
        <v>712</v>
      </c>
      <c r="B713" s="14">
        <v>45899</v>
      </c>
      <c r="C713" s="15"/>
      <c r="D713" s="16" t="s">
        <v>58</v>
      </c>
      <c r="E713" s="17">
        <v>9000</v>
      </c>
      <c r="F713" s="13">
        <v>180</v>
      </c>
      <c r="G713" s="13">
        <v>325</v>
      </c>
      <c r="H713" s="19">
        <v>330000</v>
      </c>
      <c r="I713" s="19">
        <v>30000</v>
      </c>
      <c r="J713" s="20" t="s">
        <v>33</v>
      </c>
      <c r="K713" s="13">
        <v>41</v>
      </c>
      <c r="L713" s="21" t="s">
        <v>38</v>
      </c>
      <c r="M713" s="21" t="s">
        <v>48</v>
      </c>
      <c r="N713" s="16" t="s">
        <v>42</v>
      </c>
      <c r="O713" t="str">
        <f>IF(TRIM(J713)="","NULL",IFERROR(VLOOKUP(TRIM(J713),Lookup_PropertyType!$A:$B,2,FALSE()),"other"))</f>
        <v>apartment</v>
      </c>
      <c r="P713">
        <f t="shared" si="11"/>
        <v>0</v>
      </c>
    </row>
    <row r="714" spans="1:16" ht="15.75" customHeight="1" x14ac:dyDescent="0.35">
      <c r="A714" s="13">
        <v>713</v>
      </c>
      <c r="B714" s="14">
        <v>45913</v>
      </c>
      <c r="C714" s="15"/>
      <c r="D714" s="16"/>
      <c r="E714" s="17">
        <v>7000</v>
      </c>
      <c r="F714" s="13">
        <v>180</v>
      </c>
      <c r="G714" s="13">
        <v>890</v>
      </c>
      <c r="H714" s="19">
        <v>320000</v>
      </c>
      <c r="I714" s="19">
        <v>100000</v>
      </c>
      <c r="J714" s="20" t="s">
        <v>33</v>
      </c>
      <c r="K714" s="13">
        <v>60</v>
      </c>
      <c r="L714" s="21" t="s">
        <v>34</v>
      </c>
      <c r="M714" s="21" t="s">
        <v>39</v>
      </c>
      <c r="N714" s="16" t="s">
        <v>50</v>
      </c>
      <c r="O714" t="str">
        <f>IF(TRIM(J714)="","NULL",IFERROR(VLOOKUP(TRIM(J714),Lookup_PropertyType!$A:$B,2,FALSE()),"other"))</f>
        <v>apartment</v>
      </c>
      <c r="P714">
        <f t="shared" si="11"/>
        <v>0</v>
      </c>
    </row>
    <row r="715" spans="1:16" ht="15.75" customHeight="1" x14ac:dyDescent="0.35">
      <c r="A715" s="13">
        <v>714</v>
      </c>
      <c r="B715" s="14">
        <v>45911</v>
      </c>
      <c r="C715" s="14">
        <v>45988</v>
      </c>
      <c r="D715" s="16"/>
      <c r="E715" s="17">
        <v>4980</v>
      </c>
      <c r="F715" s="13">
        <v>180</v>
      </c>
      <c r="G715" s="13">
        <v>762</v>
      </c>
      <c r="H715" s="19">
        <v>250000</v>
      </c>
      <c r="I715" s="19">
        <v>30000</v>
      </c>
      <c r="J715" s="20" t="s">
        <v>33</v>
      </c>
      <c r="K715" s="13">
        <v>37</v>
      </c>
      <c r="L715" s="21" t="s">
        <v>59</v>
      </c>
      <c r="M715" s="21" t="s">
        <v>72</v>
      </c>
      <c r="N715" s="16" t="s">
        <v>42</v>
      </c>
      <c r="O715" t="str">
        <f>IF(TRIM(J715)="","NULL",IFERROR(VLOOKUP(TRIM(J715),Lookup_PropertyType!$A:$B,2,FALSE()),"other"))</f>
        <v>apartment</v>
      </c>
      <c r="P715">
        <f t="shared" si="11"/>
        <v>1</v>
      </c>
    </row>
    <row r="716" spans="1:16" ht="15.75" customHeight="1" x14ac:dyDescent="0.35">
      <c r="A716" s="13">
        <v>715</v>
      </c>
      <c r="B716" s="14">
        <v>45893</v>
      </c>
      <c r="C716" s="15"/>
      <c r="D716" s="16" t="s">
        <v>65</v>
      </c>
      <c r="E716" s="17">
        <v>30000</v>
      </c>
      <c r="F716" s="13">
        <v>150</v>
      </c>
      <c r="G716" s="13">
        <v>335</v>
      </c>
      <c r="H716" s="19">
        <v>900000</v>
      </c>
      <c r="I716" s="19">
        <v>50000</v>
      </c>
      <c r="J716" s="20" t="s">
        <v>33</v>
      </c>
      <c r="K716" s="13">
        <v>51</v>
      </c>
      <c r="L716" s="21" t="s">
        <v>59</v>
      </c>
      <c r="M716" s="21" t="s">
        <v>39</v>
      </c>
      <c r="N716" s="16" t="s">
        <v>40</v>
      </c>
      <c r="O716" t="str">
        <f>IF(TRIM(J716)="","NULL",IFERROR(VLOOKUP(TRIM(J716),Lookup_PropertyType!$A:$B,2,FALSE()),"other"))</f>
        <v>apartment</v>
      </c>
      <c r="P716">
        <f t="shared" si="11"/>
        <v>0</v>
      </c>
    </row>
    <row r="717" spans="1:16" ht="15.75" customHeight="1" x14ac:dyDescent="0.35">
      <c r="A717" s="13">
        <v>716</v>
      </c>
      <c r="B717" s="14">
        <v>45905</v>
      </c>
      <c r="C717" s="14">
        <v>45961</v>
      </c>
      <c r="D717" s="16" t="s">
        <v>32</v>
      </c>
      <c r="E717" s="17">
        <v>7900</v>
      </c>
      <c r="F717" s="13">
        <v>180</v>
      </c>
      <c r="G717" s="13">
        <v>363</v>
      </c>
      <c r="H717" s="19">
        <v>300000</v>
      </c>
      <c r="I717" s="19">
        <v>80000</v>
      </c>
      <c r="J717" s="20" t="s">
        <v>37</v>
      </c>
      <c r="K717" s="13">
        <v>35</v>
      </c>
      <c r="L717" s="21" t="s">
        <v>38</v>
      </c>
      <c r="M717" s="21" t="s">
        <v>39</v>
      </c>
      <c r="N717" s="16" t="s">
        <v>42</v>
      </c>
      <c r="O717" t="str">
        <f>IF(TRIM(J717)="","NULL",IFERROR(VLOOKUP(TRIM(J717),Lookup_PropertyType!$A:$B,2,FALSE()),"other"))</f>
        <v>house</v>
      </c>
      <c r="P717">
        <f t="shared" si="11"/>
        <v>1</v>
      </c>
    </row>
    <row r="718" spans="1:16" ht="15.75" customHeight="1" x14ac:dyDescent="0.35">
      <c r="A718" s="13">
        <v>717</v>
      </c>
      <c r="B718" s="14">
        <v>46055</v>
      </c>
      <c r="C718" s="15"/>
      <c r="D718" s="16" t="s">
        <v>49</v>
      </c>
      <c r="E718" s="17">
        <v>3500</v>
      </c>
      <c r="F718" s="13">
        <v>180</v>
      </c>
      <c r="G718" s="13">
        <v>843</v>
      </c>
      <c r="H718" s="19">
        <v>450000</v>
      </c>
      <c r="I718" s="19">
        <v>70000</v>
      </c>
      <c r="J718" s="20" t="s">
        <v>37</v>
      </c>
      <c r="K718" s="13">
        <v>43</v>
      </c>
      <c r="L718" s="21" t="s">
        <v>38</v>
      </c>
      <c r="M718" s="21" t="s">
        <v>39</v>
      </c>
      <c r="N718" s="16" t="s">
        <v>42</v>
      </c>
      <c r="O718" t="str">
        <f>IF(TRIM(J718)="","NULL",IFERROR(VLOOKUP(TRIM(J718),Lookup_PropertyType!$A:$B,2,FALSE()),"other"))</f>
        <v>house</v>
      </c>
      <c r="P718">
        <f t="shared" si="11"/>
        <v>0</v>
      </c>
    </row>
    <row r="719" spans="1:16" ht="15.75" customHeight="1" x14ac:dyDescent="0.35">
      <c r="A719" s="13">
        <v>718</v>
      </c>
      <c r="B719" s="14">
        <v>45936</v>
      </c>
      <c r="C719" s="15"/>
      <c r="D719" s="16" t="s">
        <v>32</v>
      </c>
      <c r="E719" s="17">
        <v>4600</v>
      </c>
      <c r="F719" s="13">
        <v>90</v>
      </c>
      <c r="G719" s="13">
        <v>32</v>
      </c>
      <c r="H719" s="19">
        <v>300000</v>
      </c>
      <c r="I719" s="19">
        <v>50000</v>
      </c>
      <c r="J719" s="20" t="s">
        <v>33</v>
      </c>
      <c r="K719" s="13">
        <v>48</v>
      </c>
      <c r="L719" s="21" t="s">
        <v>38</v>
      </c>
      <c r="M719" s="21" t="s">
        <v>39</v>
      </c>
      <c r="N719" s="16" t="s">
        <v>50</v>
      </c>
      <c r="O719" t="str">
        <f>IF(TRIM(J719)="","NULL",IFERROR(VLOOKUP(TRIM(J719),Lookup_PropertyType!$A:$B,2,FALSE()),"other"))</f>
        <v>apartment</v>
      </c>
      <c r="P719">
        <f t="shared" si="11"/>
        <v>0</v>
      </c>
    </row>
    <row r="720" spans="1:16" ht="15.75" customHeight="1" x14ac:dyDescent="0.35">
      <c r="A720" s="13">
        <v>719</v>
      </c>
      <c r="B720" s="14">
        <v>45900</v>
      </c>
      <c r="C720" s="15"/>
      <c r="D720" s="16"/>
      <c r="E720" s="17">
        <v>15000</v>
      </c>
      <c r="F720" s="13">
        <v>180</v>
      </c>
      <c r="G720" s="13">
        <v>445</v>
      </c>
      <c r="H720" s="19">
        <v>330000</v>
      </c>
      <c r="I720" s="19">
        <v>150000</v>
      </c>
      <c r="J720" s="20" t="s">
        <v>37</v>
      </c>
      <c r="K720" s="13">
        <v>42</v>
      </c>
      <c r="L720" s="21" t="s">
        <v>38</v>
      </c>
      <c r="M720" s="21" t="s">
        <v>39</v>
      </c>
      <c r="N720" s="16" t="s">
        <v>36</v>
      </c>
      <c r="O720" t="str">
        <f>IF(TRIM(J720)="","NULL",IFERROR(VLOOKUP(TRIM(J720),Lookup_PropertyType!$A:$B,2,FALSE()),"other"))</f>
        <v>house</v>
      </c>
      <c r="P720">
        <f t="shared" si="11"/>
        <v>0</v>
      </c>
    </row>
    <row r="721" spans="1:16" ht="15.75" customHeight="1" x14ac:dyDescent="0.35">
      <c r="A721" s="13">
        <v>720</v>
      </c>
      <c r="B721" s="14">
        <v>45936</v>
      </c>
      <c r="C721" s="15"/>
      <c r="D721" s="16" t="s">
        <v>49</v>
      </c>
      <c r="E721" s="17">
        <v>5000</v>
      </c>
      <c r="F721" s="13">
        <v>180</v>
      </c>
      <c r="G721" s="13">
        <v>843</v>
      </c>
      <c r="H721" s="19">
        <v>240000</v>
      </c>
      <c r="I721" s="19">
        <v>70000</v>
      </c>
      <c r="J721" s="20" t="s">
        <v>33</v>
      </c>
      <c r="K721" s="13">
        <v>64</v>
      </c>
      <c r="L721" s="21" t="s">
        <v>45</v>
      </c>
      <c r="M721" s="21" t="s">
        <v>39</v>
      </c>
      <c r="N721" s="16" t="s">
        <v>50</v>
      </c>
      <c r="O721" t="str">
        <f>IF(TRIM(J721)="","NULL",IFERROR(VLOOKUP(TRIM(J721),Lookup_PropertyType!$A:$B,2,FALSE()),"other"))</f>
        <v>apartment</v>
      </c>
      <c r="P721">
        <f t="shared" si="11"/>
        <v>0</v>
      </c>
    </row>
    <row r="722" spans="1:16" ht="15.75" customHeight="1" x14ac:dyDescent="0.35">
      <c r="A722" s="13">
        <v>721</v>
      </c>
      <c r="B722" s="14">
        <v>45912</v>
      </c>
      <c r="C722" s="14">
        <v>45953</v>
      </c>
      <c r="D722" s="16"/>
      <c r="E722" s="17">
        <v>15000</v>
      </c>
      <c r="F722" s="13">
        <v>180</v>
      </c>
      <c r="G722" s="13">
        <v>498</v>
      </c>
      <c r="H722" s="19">
        <v>450000</v>
      </c>
      <c r="I722" s="19">
        <v>30000</v>
      </c>
      <c r="J722" s="20" t="s">
        <v>37</v>
      </c>
      <c r="K722" s="13">
        <v>53</v>
      </c>
      <c r="L722" s="21" t="s">
        <v>38</v>
      </c>
      <c r="M722" s="21" t="s">
        <v>39</v>
      </c>
      <c r="N722" s="16" t="s">
        <v>50</v>
      </c>
      <c r="O722" t="str">
        <f>IF(TRIM(J722)="","NULL",IFERROR(VLOOKUP(TRIM(J722),Lookup_PropertyType!$A:$B,2,FALSE()),"other"))</f>
        <v>house</v>
      </c>
      <c r="P722">
        <f t="shared" si="11"/>
        <v>1</v>
      </c>
    </row>
    <row r="723" spans="1:16" ht="15.75" customHeight="1" x14ac:dyDescent="0.35">
      <c r="A723" s="13">
        <v>722</v>
      </c>
      <c r="B723" s="14">
        <v>45894</v>
      </c>
      <c r="C723" s="15"/>
      <c r="D723" s="16" t="s">
        <v>32</v>
      </c>
      <c r="E723" s="17">
        <v>30000</v>
      </c>
      <c r="F723" s="13">
        <v>180</v>
      </c>
      <c r="G723" s="13">
        <v>540</v>
      </c>
      <c r="H723" s="19">
        <v>650000</v>
      </c>
      <c r="I723" s="19">
        <v>350000</v>
      </c>
      <c r="J723" s="20" t="s">
        <v>33</v>
      </c>
      <c r="K723" s="13">
        <v>41</v>
      </c>
      <c r="L723" s="21" t="s">
        <v>41</v>
      </c>
      <c r="M723" s="21" t="s">
        <v>39</v>
      </c>
      <c r="N723" s="16" t="s">
        <v>36</v>
      </c>
      <c r="O723" t="str">
        <f>IF(TRIM(J723)="","NULL",IFERROR(VLOOKUP(TRIM(J723),Lookup_PropertyType!$A:$B,2,FALSE()),"other"))</f>
        <v>apartment</v>
      </c>
      <c r="P723">
        <f t="shared" si="11"/>
        <v>0</v>
      </c>
    </row>
    <row r="724" spans="1:16" ht="15.75" customHeight="1" x14ac:dyDescent="0.35">
      <c r="A724" s="13">
        <v>723</v>
      </c>
      <c r="B724" s="14">
        <v>45964</v>
      </c>
      <c r="C724" s="15"/>
      <c r="D724" s="16" t="s">
        <v>32</v>
      </c>
      <c r="E724" s="17">
        <v>30000</v>
      </c>
      <c r="F724" s="13">
        <v>150</v>
      </c>
      <c r="G724" s="13">
        <v>581</v>
      </c>
      <c r="H724" s="19">
        <v>7500000</v>
      </c>
      <c r="I724" s="19">
        <v>590000</v>
      </c>
      <c r="J724" s="20" t="s">
        <v>33</v>
      </c>
      <c r="K724" s="13">
        <v>67</v>
      </c>
      <c r="L724" s="21" t="s">
        <v>38</v>
      </c>
      <c r="M724" s="21" t="s">
        <v>35</v>
      </c>
      <c r="N724" s="16" t="s">
        <v>51</v>
      </c>
      <c r="O724" t="str">
        <f>IF(TRIM(J724)="","NULL",IFERROR(VLOOKUP(TRIM(J724),Lookup_PropertyType!$A:$B,2,FALSE()),"other"))</f>
        <v>apartment</v>
      </c>
      <c r="P724">
        <f t="shared" si="11"/>
        <v>0</v>
      </c>
    </row>
    <row r="725" spans="1:16" ht="15.75" customHeight="1" x14ac:dyDescent="0.35">
      <c r="A725" s="13">
        <v>724</v>
      </c>
      <c r="B725" s="14">
        <v>45894</v>
      </c>
      <c r="C725" s="15"/>
      <c r="D725" s="16" t="s">
        <v>32</v>
      </c>
      <c r="E725" s="17">
        <v>14000</v>
      </c>
      <c r="F725" s="13">
        <v>180</v>
      </c>
      <c r="G725" s="13">
        <v>746</v>
      </c>
      <c r="H725" s="19">
        <v>250000</v>
      </c>
      <c r="I725" s="19">
        <v>140000</v>
      </c>
      <c r="J725" s="20" t="s">
        <v>33</v>
      </c>
      <c r="K725" s="13">
        <v>41</v>
      </c>
      <c r="L725" s="21" t="s">
        <v>38</v>
      </c>
      <c r="M725" s="21" t="s">
        <v>39</v>
      </c>
      <c r="N725" s="16" t="s">
        <v>50</v>
      </c>
      <c r="O725" t="str">
        <f>IF(TRIM(J725)="","NULL",IFERROR(VLOOKUP(TRIM(J725),Lookup_PropertyType!$A:$B,2,FALSE()),"other"))</f>
        <v>apartment</v>
      </c>
      <c r="P725">
        <f t="shared" si="11"/>
        <v>0</v>
      </c>
    </row>
    <row r="726" spans="1:16" ht="15.75" customHeight="1" x14ac:dyDescent="0.35">
      <c r="A726" s="13">
        <v>725</v>
      </c>
      <c r="B726" s="14">
        <v>45893</v>
      </c>
      <c r="C726" s="15"/>
      <c r="D726" s="16" t="s">
        <v>57</v>
      </c>
      <c r="E726" s="17">
        <v>5200</v>
      </c>
      <c r="F726" s="13">
        <v>180</v>
      </c>
      <c r="G726" s="13">
        <v>633</v>
      </c>
      <c r="H726" s="19">
        <v>250000</v>
      </c>
      <c r="I726" s="19">
        <v>40000</v>
      </c>
      <c r="J726" s="20" t="s">
        <v>37</v>
      </c>
      <c r="K726" s="13">
        <v>33</v>
      </c>
      <c r="L726" s="21" t="s">
        <v>38</v>
      </c>
      <c r="M726" s="21" t="s">
        <v>39</v>
      </c>
      <c r="N726" s="16" t="s">
        <v>42</v>
      </c>
      <c r="O726" t="str">
        <f>IF(TRIM(J726)="","NULL",IFERROR(VLOOKUP(TRIM(J726),Lookup_PropertyType!$A:$B,2,FALSE()),"other"))</f>
        <v>house</v>
      </c>
      <c r="P726">
        <f t="shared" si="11"/>
        <v>0</v>
      </c>
    </row>
    <row r="727" spans="1:16" ht="15.75" customHeight="1" x14ac:dyDescent="0.35">
      <c r="A727" s="13">
        <v>726</v>
      </c>
      <c r="B727" s="14">
        <v>45898</v>
      </c>
      <c r="C727" s="15"/>
      <c r="D727" s="16" t="s">
        <v>32</v>
      </c>
      <c r="E727" s="17">
        <v>14000</v>
      </c>
      <c r="F727" s="13">
        <v>180</v>
      </c>
      <c r="G727" s="13">
        <v>990</v>
      </c>
      <c r="H727" s="19">
        <v>700000</v>
      </c>
      <c r="I727" s="19">
        <v>185000</v>
      </c>
      <c r="J727" s="20" t="s">
        <v>33</v>
      </c>
      <c r="K727" s="13">
        <v>72</v>
      </c>
      <c r="L727" s="21" t="s">
        <v>34</v>
      </c>
      <c r="M727" s="21" t="s">
        <v>39</v>
      </c>
      <c r="N727" s="16" t="s">
        <v>43</v>
      </c>
      <c r="O727" t="str">
        <f>IF(TRIM(J727)="","NULL",IFERROR(VLOOKUP(TRIM(J727),Lookup_PropertyType!$A:$B,2,FALSE()),"other"))</f>
        <v>apartment</v>
      </c>
      <c r="P727">
        <f t="shared" si="11"/>
        <v>0</v>
      </c>
    </row>
    <row r="728" spans="1:16" ht="15.75" customHeight="1" x14ac:dyDescent="0.35">
      <c r="A728" s="13">
        <v>727</v>
      </c>
      <c r="B728" s="14">
        <v>45934</v>
      </c>
      <c r="C728" s="14">
        <v>46011</v>
      </c>
      <c r="D728" s="16" t="s">
        <v>32</v>
      </c>
      <c r="E728" s="17">
        <v>10000</v>
      </c>
      <c r="F728" s="13">
        <v>120</v>
      </c>
      <c r="G728" s="13">
        <v>296</v>
      </c>
      <c r="H728" s="19">
        <v>350000</v>
      </c>
      <c r="I728" s="19">
        <v>150000</v>
      </c>
      <c r="J728" s="20" t="s">
        <v>33</v>
      </c>
      <c r="K728" s="13">
        <v>39</v>
      </c>
      <c r="L728" s="21" t="s">
        <v>38</v>
      </c>
      <c r="M728" s="21" t="s">
        <v>39</v>
      </c>
      <c r="N728" s="16" t="s">
        <v>42</v>
      </c>
      <c r="O728" t="str">
        <f>IF(TRIM(J728)="","NULL",IFERROR(VLOOKUP(TRIM(J728),Lookup_PropertyType!$A:$B,2,FALSE()),"other"))</f>
        <v>apartment</v>
      </c>
      <c r="P728">
        <f t="shared" si="11"/>
        <v>1</v>
      </c>
    </row>
    <row r="729" spans="1:16" ht="15.75" customHeight="1" x14ac:dyDescent="0.35">
      <c r="A729" s="13">
        <v>728</v>
      </c>
      <c r="B729" s="14">
        <v>45894</v>
      </c>
      <c r="C729" s="14">
        <v>45933</v>
      </c>
      <c r="D729" s="16" t="s">
        <v>32</v>
      </c>
      <c r="E729" s="17">
        <v>5000</v>
      </c>
      <c r="F729" s="13">
        <v>120</v>
      </c>
      <c r="G729" s="13">
        <v>358</v>
      </c>
      <c r="H729" s="19">
        <v>300000</v>
      </c>
      <c r="I729" s="19">
        <v>30000</v>
      </c>
      <c r="J729" s="20" t="s">
        <v>33</v>
      </c>
      <c r="K729" s="13">
        <v>31</v>
      </c>
      <c r="L729" s="21" t="s">
        <v>41</v>
      </c>
      <c r="M729" s="21" t="s">
        <v>39</v>
      </c>
      <c r="N729" s="16" t="s">
        <v>36</v>
      </c>
      <c r="O729" t="str">
        <f>IF(TRIM(J729)="","NULL",IFERROR(VLOOKUP(TRIM(J729),Lookup_PropertyType!$A:$B,2,FALSE()),"other"))</f>
        <v>apartment</v>
      </c>
      <c r="P729">
        <f t="shared" si="11"/>
        <v>1</v>
      </c>
    </row>
    <row r="730" spans="1:16" ht="15.75" customHeight="1" x14ac:dyDescent="0.35">
      <c r="A730" s="13">
        <v>729</v>
      </c>
      <c r="B730" s="14">
        <v>45898</v>
      </c>
      <c r="C730" s="14">
        <v>45955</v>
      </c>
      <c r="D730" s="16" t="s">
        <v>32</v>
      </c>
      <c r="E730" s="17">
        <v>21000</v>
      </c>
      <c r="F730" s="13">
        <v>120</v>
      </c>
      <c r="G730" s="13">
        <v>425</v>
      </c>
      <c r="H730" s="19">
        <v>800000</v>
      </c>
      <c r="I730" s="19">
        <v>300000</v>
      </c>
      <c r="J730" s="20" t="s">
        <v>33</v>
      </c>
      <c r="K730" s="13">
        <v>62</v>
      </c>
      <c r="L730" s="21" t="s">
        <v>38</v>
      </c>
      <c r="M730" s="21" t="s">
        <v>35</v>
      </c>
      <c r="N730" s="16" t="s">
        <v>36</v>
      </c>
      <c r="O730" t="str">
        <f>IF(TRIM(J730)="","NULL",IFERROR(VLOOKUP(TRIM(J730),Lookup_PropertyType!$A:$B,2,FALSE()),"other"))</f>
        <v>apartment</v>
      </c>
      <c r="P730">
        <f t="shared" si="11"/>
        <v>1</v>
      </c>
    </row>
    <row r="731" spans="1:16" ht="15.75" customHeight="1" x14ac:dyDescent="0.35">
      <c r="A731" s="13">
        <v>730</v>
      </c>
      <c r="B731" s="14">
        <v>45894</v>
      </c>
      <c r="C731" s="15"/>
      <c r="D731" s="16" t="s">
        <v>32</v>
      </c>
      <c r="E731" s="17">
        <v>12000</v>
      </c>
      <c r="F731" s="13">
        <v>180</v>
      </c>
      <c r="G731" s="13">
        <v>953</v>
      </c>
      <c r="H731" s="19">
        <v>370000</v>
      </c>
      <c r="I731" s="19">
        <v>50000</v>
      </c>
      <c r="J731" s="20" t="s">
        <v>33</v>
      </c>
      <c r="K731" s="13">
        <v>36</v>
      </c>
      <c r="L731" s="21" t="s">
        <v>45</v>
      </c>
      <c r="M731" s="21" t="s">
        <v>39</v>
      </c>
      <c r="N731" s="16" t="s">
        <v>36</v>
      </c>
      <c r="O731" t="str">
        <f>IF(TRIM(J731)="","NULL",IFERROR(VLOOKUP(TRIM(J731),Lookup_PropertyType!$A:$B,2,FALSE()),"other"))</f>
        <v>apartment</v>
      </c>
      <c r="P731">
        <f t="shared" si="11"/>
        <v>0</v>
      </c>
    </row>
    <row r="732" spans="1:16" ht="15.75" customHeight="1" x14ac:dyDescent="0.35">
      <c r="A732" s="13">
        <v>731</v>
      </c>
      <c r="B732" s="14">
        <v>45893</v>
      </c>
      <c r="C732" s="15"/>
      <c r="D732" s="16" t="s">
        <v>32</v>
      </c>
      <c r="E732" s="17">
        <v>4000</v>
      </c>
      <c r="F732" s="13">
        <v>180</v>
      </c>
      <c r="G732" s="13">
        <v>482</v>
      </c>
      <c r="H732" s="19">
        <v>350000</v>
      </c>
      <c r="I732" s="19">
        <v>30000</v>
      </c>
      <c r="J732" s="20" t="s">
        <v>33</v>
      </c>
      <c r="K732" s="13">
        <v>59</v>
      </c>
      <c r="L732" s="21" t="s">
        <v>38</v>
      </c>
      <c r="M732" s="21" t="s">
        <v>54</v>
      </c>
      <c r="N732" s="16" t="s">
        <v>42</v>
      </c>
      <c r="O732" t="str">
        <f>IF(TRIM(J732)="","NULL",IFERROR(VLOOKUP(TRIM(J732),Lookup_PropertyType!$A:$B,2,FALSE()),"other"))</f>
        <v>apartment</v>
      </c>
      <c r="P732">
        <f t="shared" si="11"/>
        <v>0</v>
      </c>
    </row>
    <row r="733" spans="1:16" ht="15.75" customHeight="1" x14ac:dyDescent="0.35">
      <c r="A733" s="13">
        <v>732</v>
      </c>
      <c r="B733" s="14">
        <v>45908</v>
      </c>
      <c r="C733" s="15"/>
      <c r="D733" s="16" t="s">
        <v>32</v>
      </c>
      <c r="E733" s="17">
        <v>8000</v>
      </c>
      <c r="F733" s="13">
        <v>90</v>
      </c>
      <c r="G733" s="13">
        <v>253</v>
      </c>
      <c r="H733" s="19">
        <v>300000</v>
      </c>
      <c r="I733" s="19">
        <v>50000</v>
      </c>
      <c r="J733" s="20" t="s">
        <v>33</v>
      </c>
      <c r="K733" s="13">
        <v>49</v>
      </c>
      <c r="L733" s="21" t="s">
        <v>38</v>
      </c>
      <c r="M733" s="21" t="s">
        <v>39</v>
      </c>
      <c r="N733" s="16" t="s">
        <v>36</v>
      </c>
      <c r="O733" t="str">
        <f>IF(TRIM(J733)="","NULL",IFERROR(VLOOKUP(TRIM(J733),Lookup_PropertyType!$A:$B,2,FALSE()),"other"))</f>
        <v>apartment</v>
      </c>
      <c r="P733">
        <f t="shared" si="11"/>
        <v>0</v>
      </c>
    </row>
    <row r="734" spans="1:16" ht="15.75" customHeight="1" x14ac:dyDescent="0.35">
      <c r="A734" s="13">
        <v>733</v>
      </c>
      <c r="B734" s="14">
        <v>45919</v>
      </c>
      <c r="C734" s="15"/>
      <c r="D734" s="16" t="s">
        <v>44</v>
      </c>
      <c r="E734" s="17">
        <v>8000</v>
      </c>
      <c r="F734" s="13">
        <v>120</v>
      </c>
      <c r="G734" s="13">
        <v>870</v>
      </c>
      <c r="H734" s="19">
        <v>200000</v>
      </c>
      <c r="I734" s="19">
        <v>30000</v>
      </c>
      <c r="J734" s="20" t="s">
        <v>37</v>
      </c>
      <c r="K734" s="13">
        <v>37</v>
      </c>
      <c r="L734" s="21" t="s">
        <v>59</v>
      </c>
      <c r="M734" s="21" t="s">
        <v>54</v>
      </c>
      <c r="N734" s="16" t="s">
        <v>42</v>
      </c>
      <c r="O734" t="str">
        <f>IF(TRIM(J734)="","NULL",IFERROR(VLOOKUP(TRIM(J734),Lookup_PropertyType!$A:$B,2,FALSE()),"other"))</f>
        <v>house</v>
      </c>
      <c r="P734">
        <f t="shared" si="11"/>
        <v>0</v>
      </c>
    </row>
    <row r="735" spans="1:16" ht="15.75" customHeight="1" x14ac:dyDescent="0.35">
      <c r="A735" s="13">
        <v>734</v>
      </c>
      <c r="B735" s="14">
        <v>45906</v>
      </c>
      <c r="C735" s="15"/>
      <c r="D735" s="16" t="s">
        <v>32</v>
      </c>
      <c r="E735" s="17">
        <v>18000</v>
      </c>
      <c r="F735" s="13">
        <v>180</v>
      </c>
      <c r="G735" s="13">
        <v>805</v>
      </c>
      <c r="H735" s="19">
        <v>700000</v>
      </c>
      <c r="I735" s="19">
        <v>350000</v>
      </c>
      <c r="J735" s="20" t="s">
        <v>33</v>
      </c>
      <c r="K735" s="13">
        <v>59</v>
      </c>
      <c r="L735" s="21" t="s">
        <v>38</v>
      </c>
      <c r="M735" s="21" t="s">
        <v>39</v>
      </c>
      <c r="N735" s="16" t="s">
        <v>36</v>
      </c>
      <c r="O735" t="str">
        <f>IF(TRIM(J735)="","NULL",IFERROR(VLOOKUP(TRIM(J735),Lookup_PropertyType!$A:$B,2,FALSE()),"other"))</f>
        <v>apartment</v>
      </c>
      <c r="P735">
        <f t="shared" si="11"/>
        <v>0</v>
      </c>
    </row>
    <row r="736" spans="1:16" ht="15.75" customHeight="1" x14ac:dyDescent="0.35">
      <c r="A736" s="13">
        <v>735</v>
      </c>
      <c r="B736" s="14">
        <v>45893</v>
      </c>
      <c r="C736" s="14">
        <v>45989</v>
      </c>
      <c r="D736" s="16" t="s">
        <v>61</v>
      </c>
      <c r="E736" s="17">
        <v>10000</v>
      </c>
      <c r="F736" s="13">
        <v>180</v>
      </c>
      <c r="G736" s="13">
        <v>404</v>
      </c>
      <c r="H736" s="19">
        <v>500000</v>
      </c>
      <c r="I736" s="19">
        <v>100000</v>
      </c>
      <c r="J736" s="20" t="s">
        <v>33</v>
      </c>
      <c r="K736" s="13">
        <v>37</v>
      </c>
      <c r="L736" s="21" t="s">
        <v>38</v>
      </c>
      <c r="M736" s="21" t="s">
        <v>39</v>
      </c>
      <c r="N736" s="16" t="s">
        <v>40</v>
      </c>
      <c r="O736" t="str">
        <f>IF(TRIM(J736)="","NULL",IFERROR(VLOOKUP(TRIM(J736),Lookup_PropertyType!$A:$B,2,FALSE()),"other"))</f>
        <v>apartment</v>
      </c>
      <c r="P736">
        <f t="shared" si="11"/>
        <v>1</v>
      </c>
    </row>
    <row r="737" spans="1:16" ht="15.75" customHeight="1" x14ac:dyDescent="0.35">
      <c r="A737" s="13">
        <v>736</v>
      </c>
      <c r="B737" s="14">
        <v>45922</v>
      </c>
      <c r="C737" s="15"/>
      <c r="D737" s="16" t="s">
        <v>32</v>
      </c>
      <c r="E737" s="17">
        <v>23000</v>
      </c>
      <c r="F737" s="13">
        <v>180</v>
      </c>
      <c r="G737" s="13">
        <v>688</v>
      </c>
      <c r="H737" s="19">
        <v>1100000</v>
      </c>
      <c r="I737" s="19">
        <v>200000</v>
      </c>
      <c r="J737" s="20" t="s">
        <v>33</v>
      </c>
      <c r="K737" s="13">
        <v>61</v>
      </c>
      <c r="L737" s="21" t="s">
        <v>41</v>
      </c>
      <c r="M737" s="21" t="s">
        <v>67</v>
      </c>
      <c r="N737" s="16" t="s">
        <v>40</v>
      </c>
      <c r="O737" t="str">
        <f>IF(TRIM(J737)="","NULL",IFERROR(VLOOKUP(TRIM(J737),Lookup_PropertyType!$A:$B,2,FALSE()),"other"))</f>
        <v>apartment</v>
      </c>
      <c r="P737">
        <f t="shared" si="11"/>
        <v>0</v>
      </c>
    </row>
    <row r="738" spans="1:16" ht="15.75" customHeight="1" x14ac:dyDescent="0.35">
      <c r="A738" s="13">
        <v>737</v>
      </c>
      <c r="B738" s="14">
        <v>45913</v>
      </c>
      <c r="C738" s="15"/>
      <c r="D738" s="16" t="s">
        <v>32</v>
      </c>
      <c r="E738" s="17">
        <v>20000</v>
      </c>
      <c r="F738" s="13">
        <v>180</v>
      </c>
      <c r="G738" s="13">
        <v>965</v>
      </c>
      <c r="H738" s="19">
        <v>450000</v>
      </c>
      <c r="I738" s="19">
        <v>200000</v>
      </c>
      <c r="J738" s="20" t="s">
        <v>33</v>
      </c>
      <c r="K738" s="13">
        <v>64</v>
      </c>
      <c r="L738" s="21" t="s">
        <v>38</v>
      </c>
      <c r="M738" s="21" t="s">
        <v>35</v>
      </c>
      <c r="N738" s="16" t="s">
        <v>36</v>
      </c>
      <c r="O738" t="str">
        <f>IF(TRIM(J738)="","NULL",IFERROR(VLOOKUP(TRIM(J738),Lookup_PropertyType!$A:$B,2,FALSE()),"other"))</f>
        <v>apartment</v>
      </c>
      <c r="P738">
        <f t="shared" si="11"/>
        <v>0</v>
      </c>
    </row>
    <row r="739" spans="1:16" ht="15.75" customHeight="1" x14ac:dyDescent="0.35">
      <c r="A739" s="13">
        <v>738</v>
      </c>
      <c r="B739" s="14">
        <v>45926</v>
      </c>
      <c r="C739" s="15"/>
      <c r="D739" s="16"/>
      <c r="E739" s="17">
        <v>13000</v>
      </c>
      <c r="F739" s="13">
        <v>180</v>
      </c>
      <c r="G739" s="13">
        <v>453</v>
      </c>
      <c r="H739" s="19">
        <v>500000</v>
      </c>
      <c r="I739" s="19">
        <v>50000</v>
      </c>
      <c r="J739" s="20" t="s">
        <v>33</v>
      </c>
      <c r="K739" s="13">
        <v>77</v>
      </c>
      <c r="L739" s="21" t="s">
        <v>34</v>
      </c>
      <c r="M739" s="21" t="s">
        <v>48</v>
      </c>
      <c r="N739" s="16" t="s">
        <v>43</v>
      </c>
      <c r="O739" t="str">
        <f>IF(TRIM(J739)="","NULL",IFERROR(VLOOKUP(TRIM(J739),Lookup_PropertyType!$A:$B,2,FALSE()),"other"))</f>
        <v>apartment</v>
      </c>
      <c r="P739">
        <f t="shared" si="11"/>
        <v>0</v>
      </c>
    </row>
    <row r="740" spans="1:16" ht="15.75" customHeight="1" x14ac:dyDescent="0.35">
      <c r="A740" s="13">
        <v>739</v>
      </c>
      <c r="B740" s="14">
        <v>45897</v>
      </c>
      <c r="C740" s="15"/>
      <c r="D740" s="16" t="s">
        <v>46</v>
      </c>
      <c r="E740" s="17">
        <v>10000</v>
      </c>
      <c r="F740" s="13">
        <v>90</v>
      </c>
      <c r="G740" s="13">
        <v>614</v>
      </c>
      <c r="H740" s="19">
        <v>800000</v>
      </c>
      <c r="I740" s="19">
        <v>300000</v>
      </c>
      <c r="J740" s="20" t="s">
        <v>33</v>
      </c>
      <c r="K740" s="13">
        <v>64</v>
      </c>
      <c r="L740" s="21" t="s">
        <v>45</v>
      </c>
      <c r="M740" s="21" t="s">
        <v>39</v>
      </c>
      <c r="N740" s="16" t="s">
        <v>36</v>
      </c>
      <c r="O740" t="str">
        <f>IF(TRIM(J740)="","NULL",IFERROR(VLOOKUP(TRIM(J740),Lookup_PropertyType!$A:$B,2,FALSE()),"other"))</f>
        <v>apartment</v>
      </c>
      <c r="P740">
        <f t="shared" si="11"/>
        <v>0</v>
      </c>
    </row>
    <row r="741" spans="1:16" ht="15.75" customHeight="1" x14ac:dyDescent="0.35">
      <c r="A741" s="13">
        <v>740</v>
      </c>
      <c r="B741" s="14">
        <v>45894</v>
      </c>
      <c r="C741" s="15"/>
      <c r="D741" s="16" t="s">
        <v>49</v>
      </c>
      <c r="E741" s="17">
        <v>7700</v>
      </c>
      <c r="F741" s="13">
        <v>180</v>
      </c>
      <c r="G741" s="13">
        <v>952</v>
      </c>
      <c r="H741" s="19">
        <v>300000</v>
      </c>
      <c r="I741" s="19">
        <v>125000</v>
      </c>
      <c r="J741" s="20" t="s">
        <v>37</v>
      </c>
      <c r="K741" s="13">
        <v>38</v>
      </c>
      <c r="L741" s="21" t="s">
        <v>41</v>
      </c>
      <c r="M741" s="21" t="s">
        <v>39</v>
      </c>
      <c r="N741" s="16" t="s">
        <v>42</v>
      </c>
      <c r="O741" t="str">
        <f>IF(TRIM(J741)="","NULL",IFERROR(VLOOKUP(TRIM(J741),Lookup_PropertyType!$A:$B,2,FALSE()),"other"))</f>
        <v>house</v>
      </c>
      <c r="P741">
        <f t="shared" si="11"/>
        <v>0</v>
      </c>
    </row>
    <row r="742" spans="1:16" ht="15.75" customHeight="1" x14ac:dyDescent="0.35">
      <c r="A742" s="13">
        <v>741</v>
      </c>
      <c r="B742" s="14">
        <v>45900</v>
      </c>
      <c r="C742" s="14">
        <v>45991</v>
      </c>
      <c r="D742" s="16" t="s">
        <v>32</v>
      </c>
      <c r="E742" s="17">
        <v>3220</v>
      </c>
      <c r="F742" s="13">
        <v>180</v>
      </c>
      <c r="G742" s="13">
        <v>494</v>
      </c>
      <c r="H742" s="19">
        <v>280000</v>
      </c>
      <c r="I742" s="19">
        <v>50000</v>
      </c>
      <c r="J742" s="20" t="s">
        <v>33</v>
      </c>
      <c r="K742" s="13">
        <v>48</v>
      </c>
      <c r="L742" s="21" t="s">
        <v>45</v>
      </c>
      <c r="M742" s="21" t="s">
        <v>39</v>
      </c>
      <c r="N742" s="16" t="s">
        <v>42</v>
      </c>
      <c r="O742" t="str">
        <f>IF(TRIM(J742)="","NULL",IFERROR(VLOOKUP(TRIM(J742),Lookup_PropertyType!$A:$B,2,FALSE()),"other"))</f>
        <v>apartment</v>
      </c>
      <c r="P742">
        <f t="shared" si="11"/>
        <v>1</v>
      </c>
    </row>
    <row r="743" spans="1:16" ht="15.75" customHeight="1" x14ac:dyDescent="0.35">
      <c r="A743" s="13">
        <v>742</v>
      </c>
      <c r="B743" s="14">
        <v>45911</v>
      </c>
      <c r="C743" s="15"/>
      <c r="D743" s="16" t="s">
        <v>49</v>
      </c>
      <c r="E743" s="17">
        <v>4000</v>
      </c>
      <c r="F743" s="13">
        <v>180</v>
      </c>
      <c r="G743" s="13">
        <v>838</v>
      </c>
      <c r="H743" s="19">
        <v>420000</v>
      </c>
      <c r="I743" s="19">
        <v>70000</v>
      </c>
      <c r="J743" s="20" t="s">
        <v>33</v>
      </c>
      <c r="K743" s="13">
        <v>32</v>
      </c>
      <c r="L743" s="21" t="s">
        <v>45</v>
      </c>
      <c r="M743" s="21" t="s">
        <v>39</v>
      </c>
      <c r="N743" s="16" t="s">
        <v>51</v>
      </c>
      <c r="O743" t="str">
        <f>IF(TRIM(J743)="","NULL",IFERROR(VLOOKUP(TRIM(J743),Lookup_PropertyType!$A:$B,2,FALSE()),"other"))</f>
        <v>apartment</v>
      </c>
      <c r="P743">
        <f t="shared" si="11"/>
        <v>0</v>
      </c>
    </row>
    <row r="744" spans="1:16" ht="15.75" customHeight="1" x14ac:dyDescent="0.35">
      <c r="A744" s="13">
        <v>743</v>
      </c>
      <c r="B744" s="14">
        <v>45905</v>
      </c>
      <c r="C744" s="15"/>
      <c r="D744" s="16" t="s">
        <v>32</v>
      </c>
      <c r="E744" s="17">
        <v>8000</v>
      </c>
      <c r="F744" s="13">
        <v>180</v>
      </c>
      <c r="G744" s="13">
        <v>928</v>
      </c>
      <c r="H744" s="19">
        <v>180000</v>
      </c>
      <c r="I744" s="19">
        <v>50000</v>
      </c>
      <c r="J744" s="20" t="s">
        <v>33</v>
      </c>
      <c r="K744" s="13">
        <v>48</v>
      </c>
      <c r="L744" s="21" t="s">
        <v>38</v>
      </c>
      <c r="M744" s="21" t="s">
        <v>48</v>
      </c>
      <c r="N744" s="16"/>
      <c r="O744" t="str">
        <f>IF(TRIM(J744)="","NULL",IFERROR(VLOOKUP(TRIM(J744),Lookup_PropertyType!$A:$B,2,FALSE()),"other"))</f>
        <v>apartment</v>
      </c>
      <c r="P744">
        <f t="shared" si="11"/>
        <v>0</v>
      </c>
    </row>
    <row r="745" spans="1:16" ht="15.75" customHeight="1" x14ac:dyDescent="0.35">
      <c r="A745" s="13">
        <v>744</v>
      </c>
      <c r="B745" s="14">
        <v>45899</v>
      </c>
      <c r="C745" s="15"/>
      <c r="D745" s="16" t="s">
        <v>58</v>
      </c>
      <c r="E745" s="17">
        <v>50000</v>
      </c>
      <c r="F745" s="13">
        <v>180</v>
      </c>
      <c r="G745" s="13">
        <v>873</v>
      </c>
      <c r="H745" s="19">
        <v>2000000</v>
      </c>
      <c r="I745" s="19">
        <v>800000</v>
      </c>
      <c r="J745" s="20" t="s">
        <v>33</v>
      </c>
      <c r="K745" s="13">
        <v>60</v>
      </c>
      <c r="L745" s="21" t="s">
        <v>41</v>
      </c>
      <c r="M745" s="21" t="s">
        <v>39</v>
      </c>
      <c r="N745" s="16" t="s">
        <v>36</v>
      </c>
      <c r="O745" t="str">
        <f>IF(TRIM(J745)="","NULL",IFERROR(VLOOKUP(TRIM(J745),Lookup_PropertyType!$A:$B,2,FALSE()),"other"))</f>
        <v>apartment</v>
      </c>
      <c r="P745">
        <f t="shared" si="11"/>
        <v>0</v>
      </c>
    </row>
    <row r="746" spans="1:16" ht="15.75" customHeight="1" x14ac:dyDescent="0.35">
      <c r="A746" s="13">
        <v>745</v>
      </c>
      <c r="B746" s="14">
        <v>45914</v>
      </c>
      <c r="C746" s="14">
        <v>46006</v>
      </c>
      <c r="D746" s="16"/>
      <c r="E746" s="17">
        <v>8600</v>
      </c>
      <c r="F746" s="13">
        <v>180</v>
      </c>
      <c r="G746" s="13">
        <v>391</v>
      </c>
      <c r="H746" s="19">
        <v>230000</v>
      </c>
      <c r="I746" s="19">
        <v>30000</v>
      </c>
      <c r="J746" s="20" t="s">
        <v>33</v>
      </c>
      <c r="K746" s="13">
        <v>50</v>
      </c>
      <c r="L746" s="21" t="s">
        <v>41</v>
      </c>
      <c r="M746" s="21" t="s">
        <v>67</v>
      </c>
      <c r="N746" s="16" t="s">
        <v>42</v>
      </c>
      <c r="O746" t="str">
        <f>IF(TRIM(J746)="","NULL",IFERROR(VLOOKUP(TRIM(J746),Lookup_PropertyType!$A:$B,2,FALSE()),"other"))</f>
        <v>apartment</v>
      </c>
      <c r="P746">
        <f t="shared" si="11"/>
        <v>1</v>
      </c>
    </row>
    <row r="747" spans="1:16" ht="15.75" customHeight="1" x14ac:dyDescent="0.35">
      <c r="A747" s="13">
        <v>746</v>
      </c>
      <c r="B747" s="14">
        <v>45908</v>
      </c>
      <c r="C747" s="14">
        <v>45961</v>
      </c>
      <c r="D747" s="16" t="s">
        <v>32</v>
      </c>
      <c r="E747" s="17">
        <v>20000</v>
      </c>
      <c r="F747" s="13">
        <v>180</v>
      </c>
      <c r="G747" s="13">
        <v>763</v>
      </c>
      <c r="H747" s="19">
        <v>1500000</v>
      </c>
      <c r="I747" s="19">
        <v>90000</v>
      </c>
      <c r="J747" s="20" t="s">
        <v>33</v>
      </c>
      <c r="K747" s="13">
        <v>41</v>
      </c>
      <c r="L747" s="21" t="s">
        <v>41</v>
      </c>
      <c r="M747" s="21" t="s">
        <v>39</v>
      </c>
      <c r="N747" s="16" t="s">
        <v>36</v>
      </c>
      <c r="O747" t="str">
        <f>IF(TRIM(J747)="","NULL",IFERROR(VLOOKUP(TRIM(J747),Lookup_PropertyType!$A:$B,2,FALSE()),"other"))</f>
        <v>apartment</v>
      </c>
      <c r="P747">
        <f t="shared" si="11"/>
        <v>1</v>
      </c>
    </row>
    <row r="748" spans="1:16" ht="15.75" customHeight="1" x14ac:dyDescent="0.35">
      <c r="A748" s="13">
        <v>747</v>
      </c>
      <c r="B748" s="14">
        <v>45919</v>
      </c>
      <c r="C748" s="14">
        <v>45998</v>
      </c>
      <c r="D748" s="16" t="s">
        <v>32</v>
      </c>
      <c r="E748" s="17">
        <v>12000</v>
      </c>
      <c r="F748" s="13">
        <v>180</v>
      </c>
      <c r="G748" s="13">
        <v>709</v>
      </c>
      <c r="H748" s="19">
        <v>250000</v>
      </c>
      <c r="I748" s="19">
        <v>30000</v>
      </c>
      <c r="J748" s="20" t="s">
        <v>37</v>
      </c>
      <c r="K748" s="13">
        <v>33</v>
      </c>
      <c r="L748" s="21" t="s">
        <v>41</v>
      </c>
      <c r="M748" s="21" t="s">
        <v>72</v>
      </c>
      <c r="N748" s="16" t="s">
        <v>50</v>
      </c>
      <c r="O748" t="str">
        <f>IF(TRIM(J748)="","NULL",IFERROR(VLOOKUP(TRIM(J748),Lookup_PropertyType!$A:$B,2,FALSE()),"other"))</f>
        <v>house</v>
      </c>
      <c r="P748">
        <f t="shared" si="11"/>
        <v>1</v>
      </c>
    </row>
    <row r="749" spans="1:16" ht="15.75" customHeight="1" x14ac:dyDescent="0.35">
      <c r="A749" s="13">
        <v>748</v>
      </c>
      <c r="B749" s="14">
        <v>45908</v>
      </c>
      <c r="C749" s="15"/>
      <c r="D749" s="16" t="s">
        <v>32</v>
      </c>
      <c r="E749" s="17">
        <v>11400</v>
      </c>
      <c r="F749" s="13">
        <v>120</v>
      </c>
      <c r="G749" s="13">
        <v>816</v>
      </c>
      <c r="H749" s="19">
        <v>800000</v>
      </c>
      <c r="I749" s="19">
        <v>100000</v>
      </c>
      <c r="J749" s="20" t="s">
        <v>53</v>
      </c>
      <c r="K749" s="13">
        <v>76</v>
      </c>
      <c r="L749" s="21" t="s">
        <v>38</v>
      </c>
      <c r="M749" s="21" t="s">
        <v>54</v>
      </c>
      <c r="N749" s="16" t="s">
        <v>43</v>
      </c>
      <c r="O749" t="str">
        <f>IF(TRIM(J749)="","NULL",IFERROR(VLOOKUP(TRIM(J749),Lookup_PropertyType!$A:$B,2,FALSE()),"other"))</f>
        <v>other</v>
      </c>
      <c r="P749">
        <f t="shared" si="11"/>
        <v>0</v>
      </c>
    </row>
    <row r="750" spans="1:16" ht="15.75" customHeight="1" x14ac:dyDescent="0.35">
      <c r="A750" s="13">
        <v>749</v>
      </c>
      <c r="B750" s="14">
        <v>45922</v>
      </c>
      <c r="C750" s="14">
        <v>45981</v>
      </c>
      <c r="D750" s="16" t="s">
        <v>57</v>
      </c>
      <c r="E750" s="17">
        <v>10500</v>
      </c>
      <c r="F750" s="13">
        <v>180</v>
      </c>
      <c r="G750" s="13">
        <v>309</v>
      </c>
      <c r="H750" s="19">
        <v>220000</v>
      </c>
      <c r="I750" s="19">
        <v>80000</v>
      </c>
      <c r="J750" s="20" t="s">
        <v>33</v>
      </c>
      <c r="K750" s="13">
        <v>61</v>
      </c>
      <c r="L750" s="21" t="s">
        <v>45</v>
      </c>
      <c r="M750" s="21" t="s">
        <v>39</v>
      </c>
      <c r="N750" s="16" t="s">
        <v>43</v>
      </c>
      <c r="O750" t="str">
        <f>IF(TRIM(J750)="","NULL",IFERROR(VLOOKUP(TRIM(J750),Lookup_PropertyType!$A:$B,2,FALSE()),"other"))</f>
        <v>apartment</v>
      </c>
      <c r="P750">
        <f t="shared" si="11"/>
        <v>1</v>
      </c>
    </row>
    <row r="751" spans="1:16" ht="15.75" customHeight="1" x14ac:dyDescent="0.35">
      <c r="A751" s="13">
        <v>750</v>
      </c>
      <c r="B751" s="14">
        <v>45915</v>
      </c>
      <c r="C751" s="15"/>
      <c r="D751" s="16" t="s">
        <v>46</v>
      </c>
      <c r="E751" s="17">
        <v>250000</v>
      </c>
      <c r="F751" s="13">
        <v>180</v>
      </c>
      <c r="G751" s="13">
        <v>419</v>
      </c>
      <c r="H751" s="19">
        <v>1912000</v>
      </c>
      <c r="I751" s="19">
        <v>1000000</v>
      </c>
      <c r="J751" s="20" t="s">
        <v>37</v>
      </c>
      <c r="K751" s="13">
        <v>42</v>
      </c>
      <c r="L751" s="21" t="s">
        <v>41</v>
      </c>
      <c r="M751" s="21" t="s">
        <v>35</v>
      </c>
      <c r="N751" s="16" t="s">
        <v>36</v>
      </c>
      <c r="O751" t="str">
        <f>IF(TRIM(J751)="","NULL",IFERROR(VLOOKUP(TRIM(J751),Lookup_PropertyType!$A:$B,2,FALSE()),"other"))</f>
        <v>house</v>
      </c>
      <c r="P751">
        <f t="shared" si="11"/>
        <v>0</v>
      </c>
    </row>
    <row r="752" spans="1:16" ht="15.75" customHeight="1" x14ac:dyDescent="0.35">
      <c r="A752" s="13">
        <v>751</v>
      </c>
      <c r="B752" s="14">
        <v>45900</v>
      </c>
      <c r="C752" s="15"/>
      <c r="D752" s="16" t="s">
        <v>69</v>
      </c>
      <c r="E752" s="17">
        <v>10000</v>
      </c>
      <c r="F752" s="13">
        <v>180</v>
      </c>
      <c r="G752" s="13">
        <v>829</v>
      </c>
      <c r="H752" s="19">
        <v>300000</v>
      </c>
      <c r="I752" s="19">
        <v>100000</v>
      </c>
      <c r="J752" s="20" t="s">
        <v>60</v>
      </c>
      <c r="K752" s="13">
        <v>42</v>
      </c>
      <c r="L752" s="21" t="s">
        <v>38</v>
      </c>
      <c r="M752" s="21" t="s">
        <v>72</v>
      </c>
      <c r="N752" s="16" t="s">
        <v>50</v>
      </c>
      <c r="O752" t="str">
        <f>IF(TRIM(J752)="","NULL",IFERROR(VLOOKUP(TRIM(J752),Lookup_PropertyType!$A:$B,2,FALSE()),"other"))</f>
        <v>other</v>
      </c>
      <c r="P752">
        <f t="shared" si="11"/>
        <v>0</v>
      </c>
    </row>
    <row r="753" spans="1:16" ht="15.75" customHeight="1" x14ac:dyDescent="0.35">
      <c r="A753" s="13">
        <v>752</v>
      </c>
      <c r="B753" s="14">
        <v>45939</v>
      </c>
      <c r="C753" s="15"/>
      <c r="D753" s="16" t="s">
        <v>32</v>
      </c>
      <c r="E753" s="17">
        <v>6100</v>
      </c>
      <c r="F753" s="13">
        <v>180</v>
      </c>
      <c r="G753" s="13">
        <v>361</v>
      </c>
      <c r="H753" s="19">
        <v>220000</v>
      </c>
      <c r="I753" s="19">
        <v>60000</v>
      </c>
      <c r="J753" s="20" t="s">
        <v>33</v>
      </c>
      <c r="K753" s="13">
        <v>62</v>
      </c>
      <c r="L753" s="21" t="s">
        <v>59</v>
      </c>
      <c r="M753" s="21" t="s">
        <v>67</v>
      </c>
      <c r="N753" s="16" t="s">
        <v>43</v>
      </c>
      <c r="O753" t="str">
        <f>IF(TRIM(J753)="","NULL",IFERROR(VLOOKUP(TRIM(J753),Lookup_PropertyType!$A:$B,2,FALSE()),"other"))</f>
        <v>apartment</v>
      </c>
      <c r="P753">
        <f t="shared" si="11"/>
        <v>0</v>
      </c>
    </row>
    <row r="754" spans="1:16" ht="15.75" customHeight="1" x14ac:dyDescent="0.35">
      <c r="A754" s="13">
        <v>753</v>
      </c>
      <c r="B754" s="14">
        <v>45898</v>
      </c>
      <c r="C754" s="15"/>
      <c r="D754" s="16" t="s">
        <v>32</v>
      </c>
      <c r="E754" s="17">
        <v>11000</v>
      </c>
      <c r="F754" s="13">
        <v>180</v>
      </c>
      <c r="G754" s="13">
        <v>967</v>
      </c>
      <c r="H754" s="19">
        <v>600000</v>
      </c>
      <c r="I754" s="19">
        <v>200000</v>
      </c>
      <c r="J754" s="20" t="s">
        <v>37</v>
      </c>
      <c r="K754" s="13">
        <v>69</v>
      </c>
      <c r="L754" s="21" t="s">
        <v>38</v>
      </c>
      <c r="M754" s="21" t="s">
        <v>39</v>
      </c>
      <c r="N754" s="16" t="s">
        <v>43</v>
      </c>
      <c r="O754" t="str">
        <f>IF(TRIM(J754)="","NULL",IFERROR(VLOOKUP(TRIM(J754),Lookup_PropertyType!$A:$B,2,FALSE()),"other"))</f>
        <v>house</v>
      </c>
      <c r="P754">
        <f t="shared" si="11"/>
        <v>0</v>
      </c>
    </row>
    <row r="755" spans="1:16" ht="15.75" customHeight="1" x14ac:dyDescent="0.35">
      <c r="A755" s="13">
        <v>754</v>
      </c>
      <c r="B755" s="14">
        <v>45928</v>
      </c>
      <c r="C755" s="15"/>
      <c r="D755" s="16" t="s">
        <v>32</v>
      </c>
      <c r="E755" s="17">
        <v>27000</v>
      </c>
      <c r="F755" s="13">
        <v>90</v>
      </c>
      <c r="G755" s="13">
        <v>840</v>
      </c>
      <c r="H755" s="19">
        <v>750000</v>
      </c>
      <c r="I755" s="19">
        <v>600000</v>
      </c>
      <c r="J755" s="20" t="s">
        <v>60</v>
      </c>
      <c r="K755" s="13">
        <v>37</v>
      </c>
      <c r="L755" s="21" t="s">
        <v>41</v>
      </c>
      <c r="M755" s="21" t="s">
        <v>72</v>
      </c>
      <c r="N755" s="16" t="s">
        <v>36</v>
      </c>
      <c r="O755" t="str">
        <f>IF(TRIM(J755)="","NULL",IFERROR(VLOOKUP(TRIM(J755),Lookup_PropertyType!$A:$B,2,FALSE()),"other"))</f>
        <v>other</v>
      </c>
      <c r="P755">
        <f t="shared" si="11"/>
        <v>0</v>
      </c>
    </row>
    <row r="756" spans="1:16" ht="15.75" customHeight="1" x14ac:dyDescent="0.35">
      <c r="A756" s="13">
        <v>755</v>
      </c>
      <c r="B756" s="14">
        <v>45920</v>
      </c>
      <c r="C756" s="15"/>
      <c r="D756" s="16" t="s">
        <v>32</v>
      </c>
      <c r="E756" s="17">
        <v>3100</v>
      </c>
      <c r="F756" s="13">
        <v>180</v>
      </c>
      <c r="G756" s="13">
        <v>813</v>
      </c>
      <c r="H756" s="19">
        <v>220000</v>
      </c>
      <c r="I756" s="19">
        <v>80000</v>
      </c>
      <c r="J756" s="20" t="s">
        <v>37</v>
      </c>
      <c r="K756" s="13">
        <v>36</v>
      </c>
      <c r="L756" s="21" t="s">
        <v>59</v>
      </c>
      <c r="M756" s="21" t="s">
        <v>39</v>
      </c>
      <c r="N756" s="16" t="s">
        <v>42</v>
      </c>
      <c r="O756" t="str">
        <f>IF(TRIM(J756)="","NULL",IFERROR(VLOOKUP(TRIM(J756),Lookup_PropertyType!$A:$B,2,FALSE()),"other"))</f>
        <v>house</v>
      </c>
      <c r="P756">
        <f t="shared" si="11"/>
        <v>0</v>
      </c>
    </row>
    <row r="757" spans="1:16" ht="15.75" customHeight="1" x14ac:dyDescent="0.35">
      <c r="A757" s="13">
        <v>756</v>
      </c>
      <c r="B757" s="14">
        <v>45920</v>
      </c>
      <c r="C757" s="15"/>
      <c r="D757" s="16" t="s">
        <v>44</v>
      </c>
      <c r="E757" s="17">
        <v>27886</v>
      </c>
      <c r="F757" s="13">
        <v>180</v>
      </c>
      <c r="G757" s="13">
        <v>250</v>
      </c>
      <c r="H757" s="19">
        <v>450000</v>
      </c>
      <c r="I757" s="19">
        <v>80000</v>
      </c>
      <c r="J757" s="20" t="s">
        <v>37</v>
      </c>
      <c r="K757" s="13">
        <v>53</v>
      </c>
      <c r="L757" s="21" t="s">
        <v>38</v>
      </c>
      <c r="M757" s="21" t="s">
        <v>39</v>
      </c>
      <c r="N757" s="16" t="s">
        <v>50</v>
      </c>
      <c r="O757" t="str">
        <f>IF(TRIM(J757)="","NULL",IFERROR(VLOOKUP(TRIM(J757),Lookup_PropertyType!$A:$B,2,FALSE()),"other"))</f>
        <v>house</v>
      </c>
      <c r="P757">
        <f t="shared" si="11"/>
        <v>0</v>
      </c>
    </row>
    <row r="758" spans="1:16" ht="15.75" customHeight="1" x14ac:dyDescent="0.35">
      <c r="A758" s="13">
        <v>757</v>
      </c>
      <c r="B758" s="14">
        <v>45901</v>
      </c>
      <c r="C758" s="15"/>
      <c r="D758" s="16" t="s">
        <v>32</v>
      </c>
      <c r="E758" s="17">
        <v>7100</v>
      </c>
      <c r="F758" s="13">
        <v>180</v>
      </c>
      <c r="G758" s="13">
        <v>434</v>
      </c>
      <c r="H758" s="19">
        <v>300000</v>
      </c>
      <c r="I758" s="19">
        <v>70000</v>
      </c>
      <c r="J758" s="20" t="s">
        <v>53</v>
      </c>
      <c r="K758" s="13">
        <v>39</v>
      </c>
      <c r="L758" s="21" t="s">
        <v>59</v>
      </c>
      <c r="M758" s="21" t="s">
        <v>39</v>
      </c>
      <c r="N758" s="16" t="s">
        <v>42</v>
      </c>
      <c r="O758" t="str">
        <f>IF(TRIM(J758)="","NULL",IFERROR(VLOOKUP(TRIM(J758),Lookup_PropertyType!$A:$B,2,FALSE()),"other"))</f>
        <v>other</v>
      </c>
      <c r="P758">
        <f t="shared" si="11"/>
        <v>0</v>
      </c>
    </row>
    <row r="759" spans="1:16" ht="15.75" customHeight="1" x14ac:dyDescent="0.35">
      <c r="A759" s="13">
        <v>758</v>
      </c>
      <c r="B759" s="14">
        <v>45906</v>
      </c>
      <c r="C759" s="15"/>
      <c r="D759" s="16" t="s">
        <v>57</v>
      </c>
      <c r="E759" s="17">
        <v>9500</v>
      </c>
      <c r="F759" s="13">
        <v>180</v>
      </c>
      <c r="G759" s="13">
        <v>340</v>
      </c>
      <c r="H759" s="19">
        <v>420000</v>
      </c>
      <c r="I759" s="19">
        <v>100000</v>
      </c>
      <c r="J759" s="20" t="s">
        <v>37</v>
      </c>
      <c r="K759" s="13">
        <v>34</v>
      </c>
      <c r="L759" s="21" t="s">
        <v>38</v>
      </c>
      <c r="M759" s="21" t="s">
        <v>48</v>
      </c>
      <c r="N759" s="16" t="s">
        <v>50</v>
      </c>
      <c r="O759" t="str">
        <f>IF(TRIM(J759)="","NULL",IFERROR(VLOOKUP(TRIM(J759),Lookup_PropertyType!$A:$B,2,FALSE()),"other"))</f>
        <v>house</v>
      </c>
      <c r="P759">
        <f t="shared" si="11"/>
        <v>0</v>
      </c>
    </row>
    <row r="760" spans="1:16" ht="15.75" customHeight="1" x14ac:dyDescent="0.35">
      <c r="A760" s="13">
        <v>759</v>
      </c>
      <c r="B760" s="14">
        <v>45915</v>
      </c>
      <c r="C760" s="15"/>
      <c r="D760" s="16" t="s">
        <v>49</v>
      </c>
      <c r="E760" s="17">
        <v>15000</v>
      </c>
      <c r="F760" s="13">
        <v>180</v>
      </c>
      <c r="G760" s="13">
        <v>482</v>
      </c>
      <c r="H760" s="19">
        <v>1400000</v>
      </c>
      <c r="I760" s="19">
        <v>265000</v>
      </c>
      <c r="J760" s="20" t="s">
        <v>37</v>
      </c>
      <c r="K760" s="13">
        <v>43</v>
      </c>
      <c r="L760" s="21" t="s">
        <v>38</v>
      </c>
      <c r="M760" s="21" t="s">
        <v>39</v>
      </c>
      <c r="N760" s="16" t="s">
        <v>51</v>
      </c>
      <c r="O760" t="str">
        <f>IF(TRIM(J760)="","NULL",IFERROR(VLOOKUP(TRIM(J760),Lookup_PropertyType!$A:$B,2,FALSE()),"other"))</f>
        <v>house</v>
      </c>
      <c r="P760">
        <f t="shared" si="11"/>
        <v>0</v>
      </c>
    </row>
    <row r="761" spans="1:16" ht="15.75" customHeight="1" x14ac:dyDescent="0.35">
      <c r="A761" s="13">
        <v>760</v>
      </c>
      <c r="B761" s="14">
        <v>45905</v>
      </c>
      <c r="C761" s="15"/>
      <c r="D761" s="16" t="s">
        <v>32</v>
      </c>
      <c r="E761" s="17">
        <v>32000</v>
      </c>
      <c r="F761" s="13">
        <v>180</v>
      </c>
      <c r="G761" s="13">
        <v>906</v>
      </c>
      <c r="H761" s="19">
        <v>990000</v>
      </c>
      <c r="I761" s="19">
        <v>520000</v>
      </c>
      <c r="J761" s="20" t="s">
        <v>33</v>
      </c>
      <c r="K761" s="13">
        <v>55</v>
      </c>
      <c r="L761" s="21" t="s">
        <v>41</v>
      </c>
      <c r="M761" s="21" t="s">
        <v>39</v>
      </c>
      <c r="N761" s="16" t="s">
        <v>48</v>
      </c>
      <c r="O761" t="str">
        <f>IF(TRIM(J761)="","NULL",IFERROR(VLOOKUP(TRIM(J761),Lookup_PropertyType!$A:$B,2,FALSE()),"other"))</f>
        <v>apartment</v>
      </c>
      <c r="P761">
        <f t="shared" si="11"/>
        <v>0</v>
      </c>
    </row>
    <row r="762" spans="1:16" ht="15.75" customHeight="1" x14ac:dyDescent="0.35">
      <c r="A762" s="13">
        <v>761</v>
      </c>
      <c r="B762" s="14">
        <v>45905</v>
      </c>
      <c r="C762" s="15"/>
      <c r="D762" s="16" t="s">
        <v>61</v>
      </c>
      <c r="E762" s="17">
        <v>14000</v>
      </c>
      <c r="F762" s="13">
        <v>180</v>
      </c>
      <c r="G762" s="13">
        <v>311</v>
      </c>
      <c r="H762" s="19">
        <v>600000</v>
      </c>
      <c r="I762" s="19">
        <v>150000</v>
      </c>
      <c r="J762" s="20" t="s">
        <v>37</v>
      </c>
      <c r="K762" s="13">
        <v>66</v>
      </c>
      <c r="L762" s="21" t="s">
        <v>41</v>
      </c>
      <c r="M762" s="21" t="s">
        <v>67</v>
      </c>
      <c r="N762" s="16" t="s">
        <v>36</v>
      </c>
      <c r="O762" t="str">
        <f>IF(TRIM(J762)="","NULL",IFERROR(VLOOKUP(TRIM(J762),Lookup_PropertyType!$A:$B,2,FALSE()),"other"))</f>
        <v>house</v>
      </c>
      <c r="P762">
        <f t="shared" si="11"/>
        <v>0</v>
      </c>
    </row>
    <row r="763" spans="1:16" ht="15.75" customHeight="1" x14ac:dyDescent="0.35">
      <c r="A763" s="13">
        <v>762</v>
      </c>
      <c r="B763" s="14">
        <v>45957</v>
      </c>
      <c r="C763" s="14">
        <v>45996</v>
      </c>
      <c r="D763" s="16"/>
      <c r="E763" s="17">
        <v>10000</v>
      </c>
      <c r="F763" s="13">
        <v>180</v>
      </c>
      <c r="G763" s="13">
        <v>243</v>
      </c>
      <c r="H763" s="19">
        <v>300000</v>
      </c>
      <c r="I763" s="19">
        <v>100000</v>
      </c>
      <c r="J763" s="20" t="s">
        <v>37</v>
      </c>
      <c r="K763" s="13">
        <v>51</v>
      </c>
      <c r="L763" s="21" t="s">
        <v>38</v>
      </c>
      <c r="M763" s="21" t="s">
        <v>67</v>
      </c>
      <c r="N763" s="16" t="s">
        <v>50</v>
      </c>
      <c r="O763" t="str">
        <f>IF(TRIM(J763)="","NULL",IFERROR(VLOOKUP(TRIM(J763),Lookup_PropertyType!$A:$B,2,FALSE()),"other"))</f>
        <v>house</v>
      </c>
      <c r="P763">
        <f t="shared" si="11"/>
        <v>1</v>
      </c>
    </row>
    <row r="764" spans="1:16" ht="15.75" customHeight="1" x14ac:dyDescent="0.35">
      <c r="A764" s="13">
        <v>763</v>
      </c>
      <c r="B764" s="14">
        <v>45912</v>
      </c>
      <c r="C764" s="14">
        <v>45941</v>
      </c>
      <c r="D764" s="16" t="s">
        <v>55</v>
      </c>
      <c r="E764" s="17">
        <v>30000</v>
      </c>
      <c r="F764" s="13">
        <v>120</v>
      </c>
      <c r="G764" s="13">
        <v>568</v>
      </c>
      <c r="H764" s="19">
        <v>550000</v>
      </c>
      <c r="I764" s="19">
        <v>80000</v>
      </c>
      <c r="J764" s="20" t="s">
        <v>37</v>
      </c>
      <c r="K764" s="13">
        <v>56</v>
      </c>
      <c r="L764" s="21" t="s">
        <v>45</v>
      </c>
      <c r="M764" s="21" t="s">
        <v>54</v>
      </c>
      <c r="N764" s="16" t="s">
        <v>48</v>
      </c>
      <c r="O764" t="str">
        <f>IF(TRIM(J764)="","NULL",IFERROR(VLOOKUP(TRIM(J764),Lookup_PropertyType!$A:$B,2,FALSE()),"other"))</f>
        <v>house</v>
      </c>
      <c r="P764">
        <f t="shared" si="11"/>
        <v>1</v>
      </c>
    </row>
    <row r="765" spans="1:16" ht="15.75" customHeight="1" x14ac:dyDescent="0.35">
      <c r="A765" s="13">
        <v>764</v>
      </c>
      <c r="B765" s="14">
        <v>45922</v>
      </c>
      <c r="C765" s="15"/>
      <c r="D765" s="16" t="s">
        <v>32</v>
      </c>
      <c r="E765" s="17">
        <v>10000</v>
      </c>
      <c r="F765" s="13">
        <v>120</v>
      </c>
      <c r="G765" s="13">
        <v>375</v>
      </c>
      <c r="H765" s="19">
        <v>350000</v>
      </c>
      <c r="I765" s="19">
        <v>150000</v>
      </c>
      <c r="J765" s="20" t="s">
        <v>33</v>
      </c>
      <c r="K765" s="13">
        <v>58</v>
      </c>
      <c r="L765" s="21" t="s">
        <v>59</v>
      </c>
      <c r="M765" s="21" t="s">
        <v>39</v>
      </c>
      <c r="N765" s="16" t="s">
        <v>50</v>
      </c>
      <c r="O765" t="str">
        <f>IF(TRIM(J765)="","NULL",IFERROR(VLOOKUP(TRIM(J765),Lookup_PropertyType!$A:$B,2,FALSE()),"other"))</f>
        <v>apartment</v>
      </c>
      <c r="P765">
        <f t="shared" si="11"/>
        <v>0</v>
      </c>
    </row>
    <row r="766" spans="1:16" ht="15.75" customHeight="1" x14ac:dyDescent="0.35">
      <c r="A766" s="13">
        <v>765</v>
      </c>
      <c r="B766" s="14">
        <v>45913</v>
      </c>
      <c r="C766" s="15"/>
      <c r="D766" s="16" t="s">
        <v>32</v>
      </c>
      <c r="E766" s="17">
        <v>4000</v>
      </c>
      <c r="F766" s="13">
        <v>180</v>
      </c>
      <c r="G766" s="13">
        <v>672</v>
      </c>
      <c r="H766" s="19">
        <v>250000</v>
      </c>
      <c r="I766" s="19">
        <v>50000</v>
      </c>
      <c r="J766" s="20" t="s">
        <v>37</v>
      </c>
      <c r="K766" s="13">
        <v>50</v>
      </c>
      <c r="L766" s="21" t="s">
        <v>34</v>
      </c>
      <c r="M766" s="21" t="s">
        <v>35</v>
      </c>
      <c r="N766" s="16" t="s">
        <v>42</v>
      </c>
      <c r="O766" t="str">
        <f>IF(TRIM(J766)="","NULL",IFERROR(VLOOKUP(TRIM(J766),Lookup_PropertyType!$A:$B,2,FALSE()),"other"))</f>
        <v>house</v>
      </c>
      <c r="P766">
        <f t="shared" si="11"/>
        <v>0</v>
      </c>
    </row>
    <row r="767" spans="1:16" ht="15.75" customHeight="1" x14ac:dyDescent="0.35">
      <c r="A767" s="13">
        <v>766</v>
      </c>
      <c r="B767" s="14">
        <v>45920</v>
      </c>
      <c r="C767" s="15"/>
      <c r="D767" s="16" t="s">
        <v>49</v>
      </c>
      <c r="E767" s="17">
        <v>6529</v>
      </c>
      <c r="F767" s="13">
        <v>180</v>
      </c>
      <c r="G767" s="13">
        <v>548</v>
      </c>
      <c r="H767" s="19">
        <v>220000</v>
      </c>
      <c r="I767" s="19">
        <v>90000</v>
      </c>
      <c r="J767" s="20" t="s">
        <v>33</v>
      </c>
      <c r="K767" s="13">
        <v>38</v>
      </c>
      <c r="L767" s="21" t="s">
        <v>38</v>
      </c>
      <c r="M767" s="21" t="s">
        <v>39</v>
      </c>
      <c r="N767" s="16" t="s">
        <v>42</v>
      </c>
      <c r="O767" t="str">
        <f>IF(TRIM(J767)="","NULL",IFERROR(VLOOKUP(TRIM(J767),Lookup_PropertyType!$A:$B,2,FALSE()),"other"))</f>
        <v>apartment</v>
      </c>
      <c r="P767">
        <f t="shared" si="11"/>
        <v>0</v>
      </c>
    </row>
    <row r="768" spans="1:16" ht="15.75" customHeight="1" x14ac:dyDescent="0.35">
      <c r="A768" s="13">
        <v>767</v>
      </c>
      <c r="B768" s="14">
        <v>45918</v>
      </c>
      <c r="C768" s="15"/>
      <c r="D768" s="16" t="s">
        <v>32</v>
      </c>
      <c r="E768" s="17">
        <v>14000</v>
      </c>
      <c r="F768" s="13">
        <v>180</v>
      </c>
      <c r="G768" s="13">
        <v>812</v>
      </c>
      <c r="H768" s="19">
        <v>165000</v>
      </c>
      <c r="I768" s="19">
        <v>60000</v>
      </c>
      <c r="J768" s="20" t="s">
        <v>33</v>
      </c>
      <c r="K768" s="13">
        <v>41</v>
      </c>
      <c r="L768" s="21" t="s">
        <v>45</v>
      </c>
      <c r="M768" s="21" t="s">
        <v>39</v>
      </c>
      <c r="N768" s="16" t="s">
        <v>40</v>
      </c>
      <c r="O768" t="str">
        <f>IF(TRIM(J768)="","NULL",IFERROR(VLOOKUP(TRIM(J768),Lookup_PropertyType!$A:$B,2,FALSE()),"other"))</f>
        <v>apartment</v>
      </c>
      <c r="P768">
        <f t="shared" si="11"/>
        <v>0</v>
      </c>
    </row>
    <row r="769" spans="1:16" ht="15.75" customHeight="1" x14ac:dyDescent="0.35">
      <c r="A769" s="13">
        <v>768</v>
      </c>
      <c r="B769" s="14">
        <v>45905</v>
      </c>
      <c r="C769" s="14">
        <v>46053</v>
      </c>
      <c r="D769" s="16" t="s">
        <v>55</v>
      </c>
      <c r="E769" s="17">
        <v>15000</v>
      </c>
      <c r="F769" s="13">
        <v>90</v>
      </c>
      <c r="G769" s="13">
        <v>497</v>
      </c>
      <c r="H769" s="19">
        <v>925000</v>
      </c>
      <c r="I769" s="19">
        <v>220000</v>
      </c>
      <c r="J769" s="20" t="s">
        <v>37</v>
      </c>
      <c r="K769" s="13">
        <v>48</v>
      </c>
      <c r="L769" s="21" t="s">
        <v>34</v>
      </c>
      <c r="M769" s="21" t="s">
        <v>39</v>
      </c>
      <c r="N769" s="16" t="s">
        <v>36</v>
      </c>
      <c r="O769" t="str">
        <f>IF(TRIM(J769)="","NULL",IFERROR(VLOOKUP(TRIM(J769),Lookup_PropertyType!$A:$B,2,FALSE()),"other"))</f>
        <v>house</v>
      </c>
      <c r="P769">
        <f t="shared" si="11"/>
        <v>1</v>
      </c>
    </row>
    <row r="770" spans="1:16" ht="15.75" customHeight="1" x14ac:dyDescent="0.35">
      <c r="A770" s="13">
        <v>769</v>
      </c>
      <c r="B770" s="14">
        <v>45925</v>
      </c>
      <c r="C770" s="15"/>
      <c r="D770" s="16" t="s">
        <v>58</v>
      </c>
      <c r="E770" s="17">
        <v>46300</v>
      </c>
      <c r="F770" s="13">
        <v>180</v>
      </c>
      <c r="G770" s="13">
        <v>472</v>
      </c>
      <c r="H770" s="19">
        <v>250000</v>
      </c>
      <c r="I770" s="19">
        <v>100000</v>
      </c>
      <c r="J770" s="20" t="s">
        <v>37</v>
      </c>
      <c r="K770" s="13">
        <v>47</v>
      </c>
      <c r="L770" s="21" t="s">
        <v>38</v>
      </c>
      <c r="M770" s="21" t="s">
        <v>39</v>
      </c>
      <c r="N770" s="16" t="s">
        <v>42</v>
      </c>
      <c r="O770" t="str">
        <f>IF(TRIM(J770)="","NULL",IFERROR(VLOOKUP(TRIM(J770),Lookup_PropertyType!$A:$B,2,FALSE()),"other"))</f>
        <v>house</v>
      </c>
      <c r="P770">
        <f t="shared" ref="P770:P833" si="12">IF(AND(C770&lt;&gt;"",C770&gt;=B770),1,0)</f>
        <v>0</v>
      </c>
    </row>
    <row r="771" spans="1:16" ht="15.75" customHeight="1" x14ac:dyDescent="0.35">
      <c r="A771" s="13">
        <v>770</v>
      </c>
      <c r="B771" s="14">
        <v>45922</v>
      </c>
      <c r="C771" s="15"/>
      <c r="D771" s="16" t="s">
        <v>57</v>
      </c>
      <c r="E771" s="17">
        <v>40000</v>
      </c>
      <c r="F771" s="13">
        <v>180</v>
      </c>
      <c r="G771" s="13">
        <v>256</v>
      </c>
      <c r="H771" s="19">
        <v>800000</v>
      </c>
      <c r="I771" s="19">
        <v>400000</v>
      </c>
      <c r="J771" s="20" t="s">
        <v>37</v>
      </c>
      <c r="K771" s="13">
        <v>38</v>
      </c>
      <c r="L771" s="21" t="s">
        <v>41</v>
      </c>
      <c r="M771" s="21" t="s">
        <v>39</v>
      </c>
      <c r="N771" s="16" t="s">
        <v>36</v>
      </c>
      <c r="O771" t="str">
        <f>IF(TRIM(J771)="","NULL",IFERROR(VLOOKUP(TRIM(J771),Lookup_PropertyType!$A:$B,2,FALSE()),"other"))</f>
        <v>house</v>
      </c>
      <c r="P771">
        <f t="shared" si="12"/>
        <v>0</v>
      </c>
    </row>
    <row r="772" spans="1:16" ht="15.75" customHeight="1" x14ac:dyDescent="0.35">
      <c r="A772" s="13">
        <v>771</v>
      </c>
      <c r="B772" s="14">
        <v>45915</v>
      </c>
      <c r="C772" s="15"/>
      <c r="D772" s="16" t="s">
        <v>32</v>
      </c>
      <c r="E772" s="17">
        <v>50000</v>
      </c>
      <c r="F772" s="13">
        <v>120</v>
      </c>
      <c r="G772" s="13">
        <v>644</v>
      </c>
      <c r="H772" s="19">
        <v>2500000</v>
      </c>
      <c r="I772" s="19">
        <v>650000</v>
      </c>
      <c r="J772" s="20" t="s">
        <v>37</v>
      </c>
      <c r="K772" s="13">
        <v>43</v>
      </c>
      <c r="L772" s="21" t="s">
        <v>38</v>
      </c>
      <c r="M772" s="21" t="s">
        <v>39</v>
      </c>
      <c r="N772" s="16" t="s">
        <v>36</v>
      </c>
      <c r="O772" t="str">
        <f>IF(TRIM(J772)="","NULL",IFERROR(VLOOKUP(TRIM(J772),Lookup_PropertyType!$A:$B,2,FALSE()),"other"))</f>
        <v>house</v>
      </c>
      <c r="P772">
        <f t="shared" si="12"/>
        <v>0</v>
      </c>
    </row>
    <row r="773" spans="1:16" ht="15.75" customHeight="1" x14ac:dyDescent="0.35">
      <c r="A773" s="13">
        <v>772</v>
      </c>
      <c r="B773" s="14">
        <v>45935</v>
      </c>
      <c r="C773" s="15"/>
      <c r="D773" s="16" t="s">
        <v>32</v>
      </c>
      <c r="E773" s="17">
        <v>9700</v>
      </c>
      <c r="F773" s="13">
        <v>180</v>
      </c>
      <c r="G773" s="13">
        <v>819</v>
      </c>
      <c r="H773" s="19">
        <v>375000</v>
      </c>
      <c r="I773" s="19">
        <v>80000</v>
      </c>
      <c r="J773" s="20" t="s">
        <v>33</v>
      </c>
      <c r="K773" s="13">
        <v>56</v>
      </c>
      <c r="L773" s="21" t="s">
        <v>34</v>
      </c>
      <c r="M773" s="21" t="s">
        <v>39</v>
      </c>
      <c r="N773" s="16" t="s">
        <v>50</v>
      </c>
      <c r="O773" t="str">
        <f>IF(TRIM(J773)="","NULL",IFERROR(VLOOKUP(TRIM(J773),Lookup_PropertyType!$A:$B,2,FALSE()),"other"))</f>
        <v>apartment</v>
      </c>
      <c r="P773">
        <f t="shared" si="12"/>
        <v>0</v>
      </c>
    </row>
    <row r="774" spans="1:16" ht="15.75" customHeight="1" x14ac:dyDescent="0.35">
      <c r="A774" s="13">
        <v>773</v>
      </c>
      <c r="B774" s="14">
        <v>45906</v>
      </c>
      <c r="C774" s="15"/>
      <c r="D774" s="16" t="s">
        <v>49</v>
      </c>
      <c r="E774" s="17">
        <v>7000</v>
      </c>
      <c r="F774" s="13">
        <v>90</v>
      </c>
      <c r="G774" s="13">
        <v>902</v>
      </c>
      <c r="H774" s="19">
        <v>280000</v>
      </c>
      <c r="I774" s="19">
        <v>125000</v>
      </c>
      <c r="J774" s="20" t="s">
        <v>37</v>
      </c>
      <c r="K774" s="13">
        <v>37</v>
      </c>
      <c r="L774" s="21" t="s">
        <v>41</v>
      </c>
      <c r="M774" s="21" t="s">
        <v>48</v>
      </c>
      <c r="N774" s="16" t="s">
        <v>42</v>
      </c>
      <c r="O774" t="str">
        <f>IF(TRIM(J774)="","NULL",IFERROR(VLOOKUP(TRIM(J774),Lookup_PropertyType!$A:$B,2,FALSE()),"other"))</f>
        <v>house</v>
      </c>
      <c r="P774">
        <f t="shared" si="12"/>
        <v>0</v>
      </c>
    </row>
    <row r="775" spans="1:16" ht="15.75" customHeight="1" x14ac:dyDescent="0.35">
      <c r="A775" s="13">
        <v>774</v>
      </c>
      <c r="B775" s="14">
        <v>45941</v>
      </c>
      <c r="C775" s="14">
        <v>46003</v>
      </c>
      <c r="D775" s="16" t="s">
        <v>32</v>
      </c>
      <c r="E775" s="17">
        <v>15000</v>
      </c>
      <c r="F775" s="13">
        <v>90</v>
      </c>
      <c r="G775" s="13">
        <v>569</v>
      </c>
      <c r="H775" s="19">
        <v>650000</v>
      </c>
      <c r="I775" s="19">
        <v>250000</v>
      </c>
      <c r="J775" s="20" t="s">
        <v>37</v>
      </c>
      <c r="K775" s="13">
        <v>45</v>
      </c>
      <c r="L775" s="21" t="s">
        <v>38</v>
      </c>
      <c r="M775" s="21" t="s">
        <v>35</v>
      </c>
      <c r="N775" s="16" t="s">
        <v>36</v>
      </c>
      <c r="O775" t="str">
        <f>IF(TRIM(J775)="","NULL",IFERROR(VLOOKUP(TRIM(J775),Lookup_PropertyType!$A:$B,2,FALSE()),"other"))</f>
        <v>house</v>
      </c>
      <c r="P775">
        <f t="shared" si="12"/>
        <v>1</v>
      </c>
    </row>
    <row r="776" spans="1:16" ht="15.75" customHeight="1" x14ac:dyDescent="0.35">
      <c r="A776" s="13">
        <v>775</v>
      </c>
      <c r="B776" s="14">
        <v>46011</v>
      </c>
      <c r="C776" s="15"/>
      <c r="D776" s="16" t="s">
        <v>32</v>
      </c>
      <c r="E776" s="17">
        <v>10000</v>
      </c>
      <c r="F776" s="13">
        <v>180</v>
      </c>
      <c r="G776" s="13">
        <v>962</v>
      </c>
      <c r="H776" s="19">
        <v>700000</v>
      </c>
      <c r="I776" s="19">
        <v>50000</v>
      </c>
      <c r="J776" s="20" t="s">
        <v>37</v>
      </c>
      <c r="K776" s="13">
        <v>30</v>
      </c>
      <c r="L776" s="21" t="s">
        <v>41</v>
      </c>
      <c r="M776" s="21" t="s">
        <v>39</v>
      </c>
      <c r="N776" s="16" t="s">
        <v>36</v>
      </c>
      <c r="O776" t="str">
        <f>IF(TRIM(J776)="","NULL",IFERROR(VLOOKUP(TRIM(J776),Lookup_PropertyType!$A:$B,2,FALSE()),"other"))</f>
        <v>house</v>
      </c>
      <c r="P776">
        <f t="shared" si="12"/>
        <v>0</v>
      </c>
    </row>
    <row r="777" spans="1:16" ht="15.75" customHeight="1" x14ac:dyDescent="0.35">
      <c r="A777" s="13">
        <v>776</v>
      </c>
      <c r="B777" s="14">
        <v>45912</v>
      </c>
      <c r="C777" s="15"/>
      <c r="D777" s="16" t="s">
        <v>32</v>
      </c>
      <c r="E777" s="17">
        <v>10000</v>
      </c>
      <c r="F777" s="13">
        <v>90</v>
      </c>
      <c r="G777" s="13">
        <v>365</v>
      </c>
      <c r="H777" s="19">
        <v>300000</v>
      </c>
      <c r="I777" s="19">
        <v>80000</v>
      </c>
      <c r="J777" s="20" t="s">
        <v>33</v>
      </c>
      <c r="K777" s="13">
        <v>55</v>
      </c>
      <c r="L777" s="21" t="s">
        <v>59</v>
      </c>
      <c r="M777" s="21" t="s">
        <v>39</v>
      </c>
      <c r="N777" s="16" t="s">
        <v>43</v>
      </c>
      <c r="O777" t="str">
        <f>IF(TRIM(J777)="","NULL",IFERROR(VLOOKUP(TRIM(J777),Lookup_PropertyType!$A:$B,2,FALSE()),"other"))</f>
        <v>apartment</v>
      </c>
      <c r="P777">
        <f t="shared" si="12"/>
        <v>0</v>
      </c>
    </row>
    <row r="778" spans="1:16" ht="15.75" customHeight="1" x14ac:dyDescent="0.35">
      <c r="A778" s="13">
        <v>777</v>
      </c>
      <c r="B778" s="14">
        <v>45935</v>
      </c>
      <c r="C778" s="15"/>
      <c r="D778" s="16" t="s">
        <v>49</v>
      </c>
      <c r="E778" s="17">
        <v>10000</v>
      </c>
      <c r="F778" s="13">
        <v>180</v>
      </c>
      <c r="G778" s="13">
        <v>364</v>
      </c>
      <c r="H778" s="19">
        <v>450000</v>
      </c>
      <c r="I778" s="19">
        <v>100000</v>
      </c>
      <c r="J778" s="20" t="s">
        <v>37</v>
      </c>
      <c r="K778" s="13">
        <v>56</v>
      </c>
      <c r="L778" s="21" t="s">
        <v>41</v>
      </c>
      <c r="M778" s="21" t="s">
        <v>35</v>
      </c>
      <c r="N778" s="16" t="s">
        <v>36</v>
      </c>
      <c r="O778" t="str">
        <f>IF(TRIM(J778)="","NULL",IFERROR(VLOOKUP(TRIM(J778),Lookup_PropertyType!$A:$B,2,FALSE()),"other"))</f>
        <v>house</v>
      </c>
      <c r="P778">
        <f t="shared" si="12"/>
        <v>0</v>
      </c>
    </row>
    <row r="779" spans="1:16" ht="15.75" customHeight="1" x14ac:dyDescent="0.35">
      <c r="A779" s="13">
        <v>778</v>
      </c>
      <c r="B779" s="14">
        <v>45911</v>
      </c>
      <c r="C779" s="15"/>
      <c r="D779" s="16" t="s">
        <v>32</v>
      </c>
      <c r="E779" s="17">
        <v>16200</v>
      </c>
      <c r="F779" s="13">
        <v>180</v>
      </c>
      <c r="G779" s="13">
        <v>757</v>
      </c>
      <c r="H779" s="19">
        <v>650000</v>
      </c>
      <c r="I779" s="19">
        <v>300000</v>
      </c>
      <c r="J779" s="20" t="s">
        <v>33</v>
      </c>
      <c r="K779" s="13">
        <v>65</v>
      </c>
      <c r="L779" s="21" t="s">
        <v>45</v>
      </c>
      <c r="M779" s="21" t="s">
        <v>39</v>
      </c>
      <c r="N779" s="16" t="s">
        <v>36</v>
      </c>
      <c r="O779" t="str">
        <f>IF(TRIM(J779)="","NULL",IFERROR(VLOOKUP(TRIM(J779),Lookup_PropertyType!$A:$B,2,FALSE()),"other"))</f>
        <v>apartment</v>
      </c>
      <c r="P779">
        <f t="shared" si="12"/>
        <v>0</v>
      </c>
    </row>
    <row r="780" spans="1:16" ht="15.75" customHeight="1" x14ac:dyDescent="0.35">
      <c r="A780" s="13">
        <v>779</v>
      </c>
      <c r="B780" s="14">
        <v>45978</v>
      </c>
      <c r="C780" s="15"/>
      <c r="D780" s="16" t="s">
        <v>58</v>
      </c>
      <c r="E780" s="17">
        <v>8000</v>
      </c>
      <c r="F780" s="13">
        <v>180</v>
      </c>
      <c r="G780" s="13">
        <v>745</v>
      </c>
      <c r="H780" s="19">
        <v>1500000</v>
      </c>
      <c r="I780" s="19">
        <v>30000</v>
      </c>
      <c r="J780" s="20" t="s">
        <v>33</v>
      </c>
      <c r="K780" s="13">
        <v>62</v>
      </c>
      <c r="L780" s="21" t="s">
        <v>38</v>
      </c>
      <c r="M780" s="21" t="s">
        <v>39</v>
      </c>
      <c r="N780" s="16" t="s">
        <v>43</v>
      </c>
      <c r="O780" t="str">
        <f>IF(TRIM(J780)="","NULL",IFERROR(VLOOKUP(TRIM(J780),Lookup_PropertyType!$A:$B,2,FALSE()),"other"))</f>
        <v>apartment</v>
      </c>
      <c r="P780">
        <f t="shared" si="12"/>
        <v>0</v>
      </c>
    </row>
    <row r="781" spans="1:16" ht="15.75" customHeight="1" x14ac:dyDescent="0.35">
      <c r="A781" s="13">
        <v>780</v>
      </c>
      <c r="B781" s="14">
        <v>45906</v>
      </c>
      <c r="C781" s="15"/>
      <c r="D781" s="16" t="s">
        <v>32</v>
      </c>
      <c r="E781" s="17">
        <v>10000</v>
      </c>
      <c r="F781" s="13">
        <v>180</v>
      </c>
      <c r="G781" s="13">
        <v>934</v>
      </c>
      <c r="H781" s="19">
        <v>450000</v>
      </c>
      <c r="I781" s="19">
        <v>162000</v>
      </c>
      <c r="J781" s="20" t="s">
        <v>37</v>
      </c>
      <c r="K781" s="13">
        <v>31</v>
      </c>
      <c r="L781" s="21" t="s">
        <v>64</v>
      </c>
      <c r="M781" s="21" t="s">
        <v>39</v>
      </c>
      <c r="N781" s="16" t="s">
        <v>42</v>
      </c>
      <c r="O781" t="str">
        <f>IF(TRIM(J781)="","NULL",IFERROR(VLOOKUP(TRIM(J781),Lookup_PropertyType!$A:$B,2,FALSE()),"other"))</f>
        <v>house</v>
      </c>
      <c r="P781">
        <f t="shared" si="12"/>
        <v>0</v>
      </c>
    </row>
    <row r="782" spans="1:16" ht="15.75" customHeight="1" x14ac:dyDescent="0.35">
      <c r="A782" s="13">
        <v>781</v>
      </c>
      <c r="B782" s="14">
        <v>45961</v>
      </c>
      <c r="C782" s="15"/>
      <c r="D782" s="16" t="s">
        <v>32</v>
      </c>
      <c r="E782" s="17">
        <v>14000</v>
      </c>
      <c r="F782" s="13">
        <v>90</v>
      </c>
      <c r="G782" s="13">
        <v>37</v>
      </c>
      <c r="H782" s="19">
        <v>480000</v>
      </c>
      <c r="I782" s="19">
        <v>50000</v>
      </c>
      <c r="J782" s="20" t="s">
        <v>37</v>
      </c>
      <c r="K782" s="13">
        <v>64</v>
      </c>
      <c r="L782" s="21" t="s">
        <v>38</v>
      </c>
      <c r="M782" s="21" t="s">
        <v>39</v>
      </c>
      <c r="N782" s="16" t="s">
        <v>36</v>
      </c>
      <c r="O782" t="str">
        <f>IF(TRIM(J782)="","NULL",IFERROR(VLOOKUP(TRIM(J782),Lookup_PropertyType!$A:$B,2,FALSE()),"other"))</f>
        <v>house</v>
      </c>
      <c r="P782">
        <f t="shared" si="12"/>
        <v>0</v>
      </c>
    </row>
    <row r="783" spans="1:16" ht="15.75" customHeight="1" x14ac:dyDescent="0.35">
      <c r="A783" s="13">
        <v>782</v>
      </c>
      <c r="B783" s="14">
        <v>45925</v>
      </c>
      <c r="C783" s="15"/>
      <c r="D783" s="16" t="s">
        <v>49</v>
      </c>
      <c r="E783" s="17">
        <v>6500</v>
      </c>
      <c r="F783" s="13">
        <v>180</v>
      </c>
      <c r="G783" s="13">
        <v>253</v>
      </c>
      <c r="H783" s="19">
        <v>380000</v>
      </c>
      <c r="I783" s="19">
        <v>100000</v>
      </c>
      <c r="J783" s="20" t="s">
        <v>33</v>
      </c>
      <c r="K783" s="13">
        <v>25</v>
      </c>
      <c r="L783" s="21" t="s">
        <v>45</v>
      </c>
      <c r="M783" s="21" t="s">
        <v>35</v>
      </c>
      <c r="N783" s="16" t="s">
        <v>40</v>
      </c>
      <c r="O783" t="str">
        <f>IF(TRIM(J783)="","NULL",IFERROR(VLOOKUP(TRIM(J783),Lookup_PropertyType!$A:$B,2,FALSE()),"other"))</f>
        <v>apartment</v>
      </c>
      <c r="P783">
        <f t="shared" si="12"/>
        <v>0</v>
      </c>
    </row>
    <row r="784" spans="1:16" ht="15.75" customHeight="1" x14ac:dyDescent="0.35">
      <c r="A784" s="13">
        <v>783</v>
      </c>
      <c r="B784" s="14">
        <v>45920</v>
      </c>
      <c r="C784" s="15"/>
      <c r="D784" s="16" t="s">
        <v>32</v>
      </c>
      <c r="E784" s="17">
        <v>25000</v>
      </c>
      <c r="F784" s="13">
        <v>180</v>
      </c>
      <c r="G784" s="13">
        <v>246</v>
      </c>
      <c r="H784" s="19">
        <v>350000</v>
      </c>
      <c r="I784" s="19">
        <v>100000</v>
      </c>
      <c r="J784" s="20" t="s">
        <v>33</v>
      </c>
      <c r="K784" s="13">
        <v>34</v>
      </c>
      <c r="L784" s="21" t="s">
        <v>41</v>
      </c>
      <c r="M784" s="21" t="s">
        <v>39</v>
      </c>
      <c r="N784" s="16" t="s">
        <v>36</v>
      </c>
      <c r="O784" t="str">
        <f>IF(TRIM(J784)="","NULL",IFERROR(VLOOKUP(TRIM(J784),Lookup_PropertyType!$A:$B,2,FALSE()),"other"))</f>
        <v>apartment</v>
      </c>
      <c r="P784">
        <f t="shared" si="12"/>
        <v>0</v>
      </c>
    </row>
    <row r="785" spans="1:16" ht="15.75" customHeight="1" x14ac:dyDescent="0.35">
      <c r="A785" s="13">
        <v>784</v>
      </c>
      <c r="B785" s="14">
        <v>45911</v>
      </c>
      <c r="C785" s="15"/>
      <c r="D785" s="16" t="s">
        <v>32</v>
      </c>
      <c r="E785" s="17">
        <v>35000</v>
      </c>
      <c r="F785" s="13">
        <v>180</v>
      </c>
      <c r="G785" s="13">
        <v>893</v>
      </c>
      <c r="H785" s="19">
        <v>750000</v>
      </c>
      <c r="I785" s="19">
        <v>300000</v>
      </c>
      <c r="J785" s="20" t="s">
        <v>33</v>
      </c>
      <c r="K785" s="13">
        <v>47</v>
      </c>
      <c r="L785" s="21" t="s">
        <v>38</v>
      </c>
      <c r="M785" s="21" t="s">
        <v>39</v>
      </c>
      <c r="N785" s="16" t="s">
        <v>50</v>
      </c>
      <c r="O785" t="str">
        <f>IF(TRIM(J785)="","NULL",IFERROR(VLOOKUP(TRIM(J785),Lookup_PropertyType!$A:$B,2,FALSE()),"other"))</f>
        <v>apartment</v>
      </c>
      <c r="P785">
        <f t="shared" si="12"/>
        <v>0</v>
      </c>
    </row>
    <row r="786" spans="1:16" ht="15.75" customHeight="1" x14ac:dyDescent="0.35">
      <c r="A786" s="13">
        <v>785</v>
      </c>
      <c r="B786" s="14">
        <v>45913</v>
      </c>
      <c r="C786" s="14">
        <v>46032</v>
      </c>
      <c r="D786" s="16" t="s">
        <v>58</v>
      </c>
      <c r="E786" s="17">
        <v>5000</v>
      </c>
      <c r="F786" s="13">
        <v>180</v>
      </c>
      <c r="G786" s="13">
        <v>497</v>
      </c>
      <c r="H786" s="19">
        <v>250000</v>
      </c>
      <c r="I786" s="19">
        <v>50000</v>
      </c>
      <c r="J786" s="20" t="s">
        <v>33</v>
      </c>
      <c r="K786" s="13">
        <v>51</v>
      </c>
      <c r="L786" s="21" t="s">
        <v>38</v>
      </c>
      <c r="M786" s="21" t="s">
        <v>72</v>
      </c>
      <c r="N786" s="16" t="s">
        <v>42</v>
      </c>
      <c r="O786" t="str">
        <f>IF(TRIM(J786)="","NULL",IFERROR(VLOOKUP(TRIM(J786),Lookup_PropertyType!$A:$B,2,FALSE()),"other"))</f>
        <v>apartment</v>
      </c>
      <c r="P786">
        <f t="shared" si="12"/>
        <v>1</v>
      </c>
    </row>
    <row r="787" spans="1:16" ht="15.75" customHeight="1" x14ac:dyDescent="0.35">
      <c r="A787" s="13">
        <v>786</v>
      </c>
      <c r="B787" s="14">
        <v>45925</v>
      </c>
      <c r="C787" s="15"/>
      <c r="D787" s="18" t="s">
        <v>32</v>
      </c>
      <c r="E787" s="17">
        <v>8000</v>
      </c>
      <c r="F787" s="13">
        <v>180</v>
      </c>
      <c r="G787" s="13">
        <v>254</v>
      </c>
      <c r="H787" s="19">
        <v>300000</v>
      </c>
      <c r="I787" s="19">
        <v>140000</v>
      </c>
      <c r="J787" s="20" t="s">
        <v>33</v>
      </c>
      <c r="K787" s="13">
        <v>47</v>
      </c>
      <c r="L787" s="18" t="s">
        <v>38</v>
      </c>
      <c r="M787" s="21" t="s">
        <v>39</v>
      </c>
      <c r="N787" s="16" t="s">
        <v>50</v>
      </c>
      <c r="O787" t="str">
        <f>IF(TRIM(J787)="","NULL",IFERROR(VLOOKUP(TRIM(J787),Lookup_PropertyType!$A:$B,2,FALSE()),"other"))</f>
        <v>apartment</v>
      </c>
      <c r="P787">
        <f t="shared" si="12"/>
        <v>0</v>
      </c>
    </row>
    <row r="788" spans="1:16" ht="15.75" customHeight="1" x14ac:dyDescent="0.35">
      <c r="A788" s="13">
        <v>787</v>
      </c>
      <c r="B788" s="14">
        <v>45950</v>
      </c>
      <c r="C788" s="14">
        <v>46019</v>
      </c>
      <c r="D788" s="18" t="s">
        <v>32</v>
      </c>
      <c r="E788" s="17">
        <v>11000</v>
      </c>
      <c r="F788" s="13">
        <v>180</v>
      </c>
      <c r="G788" s="13">
        <v>252</v>
      </c>
      <c r="H788" s="19">
        <v>320000</v>
      </c>
      <c r="I788" s="19">
        <v>150000</v>
      </c>
      <c r="J788" s="20" t="s">
        <v>33</v>
      </c>
      <c r="K788" s="13">
        <v>38</v>
      </c>
      <c r="L788" s="18" t="s">
        <v>38</v>
      </c>
      <c r="M788" s="18" t="s">
        <v>72</v>
      </c>
      <c r="N788" s="16" t="s">
        <v>42</v>
      </c>
      <c r="O788" t="str">
        <f>IF(TRIM(J788)="","NULL",IFERROR(VLOOKUP(TRIM(J788),Lookup_PropertyType!$A:$B,2,FALSE()),"other"))</f>
        <v>apartment</v>
      </c>
      <c r="P788">
        <f t="shared" si="12"/>
        <v>1</v>
      </c>
    </row>
    <row r="789" spans="1:16" ht="15.75" customHeight="1" x14ac:dyDescent="0.35">
      <c r="A789" s="13">
        <v>788</v>
      </c>
      <c r="B789" s="14">
        <v>45920</v>
      </c>
      <c r="C789" s="14">
        <v>46030</v>
      </c>
      <c r="D789" s="18" t="s">
        <v>69</v>
      </c>
      <c r="E789" s="17">
        <v>13000</v>
      </c>
      <c r="F789" s="13">
        <v>180</v>
      </c>
      <c r="G789" s="13">
        <v>491</v>
      </c>
      <c r="H789" s="19">
        <v>280000</v>
      </c>
      <c r="I789" s="19">
        <v>100000</v>
      </c>
      <c r="J789" s="20" t="s">
        <v>33</v>
      </c>
      <c r="K789" s="13">
        <v>54</v>
      </c>
      <c r="L789" s="18" t="s">
        <v>38</v>
      </c>
      <c r="M789" s="21" t="s">
        <v>39</v>
      </c>
      <c r="N789" s="16" t="s">
        <v>42</v>
      </c>
      <c r="O789" t="str">
        <f>IF(TRIM(J789)="","NULL",IFERROR(VLOOKUP(TRIM(J789),Lookup_PropertyType!$A:$B,2,FALSE()),"other"))</f>
        <v>apartment</v>
      </c>
      <c r="P789">
        <f t="shared" si="12"/>
        <v>1</v>
      </c>
    </row>
    <row r="790" spans="1:16" ht="15.75" customHeight="1" x14ac:dyDescent="0.35">
      <c r="A790" s="13">
        <v>789</v>
      </c>
      <c r="B790" s="14">
        <v>45915</v>
      </c>
      <c r="C790" s="15"/>
      <c r="D790" s="18" t="s">
        <v>58</v>
      </c>
      <c r="E790" s="17">
        <v>12000</v>
      </c>
      <c r="F790" s="13">
        <v>180</v>
      </c>
      <c r="G790" s="13">
        <v>806</v>
      </c>
      <c r="H790" s="19">
        <v>400000</v>
      </c>
      <c r="I790" s="19">
        <v>100000</v>
      </c>
      <c r="J790" s="20" t="s">
        <v>37</v>
      </c>
      <c r="K790" s="13">
        <v>40</v>
      </c>
      <c r="L790" s="18" t="s">
        <v>64</v>
      </c>
      <c r="M790" s="21" t="s">
        <v>39</v>
      </c>
      <c r="N790" s="16" t="s">
        <v>42</v>
      </c>
      <c r="O790" t="str">
        <f>IF(TRIM(J790)="","NULL",IFERROR(VLOOKUP(TRIM(J790),Lookup_PropertyType!$A:$B,2,FALSE()),"other"))</f>
        <v>house</v>
      </c>
      <c r="P790">
        <f t="shared" si="12"/>
        <v>0</v>
      </c>
    </row>
    <row r="791" spans="1:16" ht="15.75" customHeight="1" x14ac:dyDescent="0.35">
      <c r="A791" s="13">
        <v>790</v>
      </c>
      <c r="B791" s="14">
        <v>45927</v>
      </c>
      <c r="C791" s="15"/>
      <c r="D791" s="18" t="s">
        <v>44</v>
      </c>
      <c r="E791" s="17">
        <v>7200</v>
      </c>
      <c r="F791" s="13">
        <v>120</v>
      </c>
      <c r="G791" s="13">
        <v>125</v>
      </c>
      <c r="H791" s="19">
        <v>300000</v>
      </c>
      <c r="I791" s="19">
        <v>80000</v>
      </c>
      <c r="J791" s="20" t="s">
        <v>37</v>
      </c>
      <c r="K791" s="13">
        <v>64</v>
      </c>
      <c r="L791" s="18" t="s">
        <v>38</v>
      </c>
      <c r="M791" s="21" t="s">
        <v>39</v>
      </c>
      <c r="N791" s="16" t="s">
        <v>43</v>
      </c>
      <c r="O791" t="str">
        <f>IF(TRIM(J791)="","NULL",IFERROR(VLOOKUP(TRIM(J791),Lookup_PropertyType!$A:$B,2,FALSE()),"other"))</f>
        <v>house</v>
      </c>
      <c r="P791">
        <f t="shared" si="12"/>
        <v>0</v>
      </c>
    </row>
    <row r="792" spans="1:16" ht="15.75" customHeight="1" x14ac:dyDescent="0.35">
      <c r="A792" s="13">
        <v>791</v>
      </c>
      <c r="B792" s="14">
        <v>45921</v>
      </c>
      <c r="C792" s="14">
        <v>45967</v>
      </c>
      <c r="D792" s="18"/>
      <c r="E792" s="17">
        <v>6000</v>
      </c>
      <c r="F792" s="13">
        <v>120</v>
      </c>
      <c r="G792" s="13">
        <v>495</v>
      </c>
      <c r="H792" s="19">
        <v>400000</v>
      </c>
      <c r="I792" s="19">
        <v>100000</v>
      </c>
      <c r="J792" s="20" t="s">
        <v>33</v>
      </c>
      <c r="K792" s="13">
        <v>53</v>
      </c>
      <c r="L792" s="18" t="s">
        <v>38</v>
      </c>
      <c r="M792" s="21" t="s">
        <v>54</v>
      </c>
      <c r="N792" s="16" t="s">
        <v>42</v>
      </c>
      <c r="O792" t="str">
        <f>IF(TRIM(J792)="","NULL",IFERROR(VLOOKUP(TRIM(J792),Lookup_PropertyType!$A:$B,2,FALSE()),"other"))</f>
        <v>apartment</v>
      </c>
      <c r="P792">
        <f t="shared" si="12"/>
        <v>1</v>
      </c>
    </row>
    <row r="793" spans="1:16" ht="15.75" customHeight="1" x14ac:dyDescent="0.35">
      <c r="A793" s="13">
        <v>792</v>
      </c>
      <c r="B793" s="14">
        <v>45927</v>
      </c>
      <c r="C793" s="15"/>
      <c r="D793" s="18" t="s">
        <v>55</v>
      </c>
      <c r="E793" s="17">
        <v>50000</v>
      </c>
      <c r="F793" s="13">
        <v>180</v>
      </c>
      <c r="G793" s="13">
        <v>414</v>
      </c>
      <c r="H793" s="19">
        <v>5000000</v>
      </c>
      <c r="I793" s="19">
        <v>2000000</v>
      </c>
      <c r="J793" s="20" t="s">
        <v>33</v>
      </c>
      <c r="K793" s="13">
        <v>55</v>
      </c>
      <c r="L793" s="18" t="s">
        <v>41</v>
      </c>
      <c r="M793" s="18" t="s">
        <v>35</v>
      </c>
      <c r="N793" s="16" t="s">
        <v>36</v>
      </c>
      <c r="O793" t="str">
        <f>IF(TRIM(J793)="","NULL",IFERROR(VLOOKUP(TRIM(J793),Lookup_PropertyType!$A:$B,2,FALSE()),"other"))</f>
        <v>apartment</v>
      </c>
      <c r="P793">
        <f t="shared" si="12"/>
        <v>0</v>
      </c>
    </row>
    <row r="794" spans="1:16" ht="15.75" customHeight="1" x14ac:dyDescent="0.35">
      <c r="A794" s="13">
        <v>793</v>
      </c>
      <c r="B794" s="14">
        <v>45908</v>
      </c>
      <c r="C794" s="14">
        <v>45985</v>
      </c>
      <c r="D794" s="18" t="s">
        <v>32</v>
      </c>
      <c r="E794" s="17">
        <v>9000</v>
      </c>
      <c r="F794" s="13">
        <v>180</v>
      </c>
      <c r="G794" s="13">
        <v>602</v>
      </c>
      <c r="H794" s="19">
        <v>500000</v>
      </c>
      <c r="I794" s="19">
        <v>60000</v>
      </c>
      <c r="J794" s="20" t="s">
        <v>37</v>
      </c>
      <c r="K794" s="13">
        <v>61</v>
      </c>
      <c r="L794" s="18" t="s">
        <v>38</v>
      </c>
      <c r="M794" s="21" t="s">
        <v>39</v>
      </c>
      <c r="N794" s="16" t="s">
        <v>43</v>
      </c>
      <c r="O794" t="str">
        <f>IF(TRIM(J794)="","NULL",IFERROR(VLOOKUP(TRIM(J794),Lookup_PropertyType!$A:$B,2,FALSE()),"other"))</f>
        <v>house</v>
      </c>
      <c r="P794">
        <f t="shared" si="12"/>
        <v>1</v>
      </c>
    </row>
    <row r="795" spans="1:16" ht="15.75" customHeight="1" x14ac:dyDescent="0.35">
      <c r="A795" s="13">
        <v>794</v>
      </c>
      <c r="B795" s="14">
        <v>45932</v>
      </c>
      <c r="C795" s="15"/>
      <c r="D795" s="18" t="s">
        <v>32</v>
      </c>
      <c r="E795" s="17">
        <v>18000</v>
      </c>
      <c r="F795" s="13">
        <v>180</v>
      </c>
      <c r="G795" s="13">
        <v>901</v>
      </c>
      <c r="H795" s="19">
        <v>300000</v>
      </c>
      <c r="I795" s="19">
        <v>100000</v>
      </c>
      <c r="J795" s="20" t="s">
        <v>33</v>
      </c>
      <c r="K795" s="13">
        <v>50</v>
      </c>
      <c r="L795" s="18" t="s">
        <v>38</v>
      </c>
      <c r="M795" s="21" t="s">
        <v>35</v>
      </c>
      <c r="N795" s="16" t="s">
        <v>51</v>
      </c>
      <c r="O795" t="str">
        <f>IF(TRIM(J795)="","NULL",IFERROR(VLOOKUP(TRIM(J795),Lookup_PropertyType!$A:$B,2,FALSE()),"other"))</f>
        <v>apartment</v>
      </c>
      <c r="P795">
        <f t="shared" si="12"/>
        <v>0</v>
      </c>
    </row>
    <row r="796" spans="1:16" ht="15.75" customHeight="1" x14ac:dyDescent="0.35">
      <c r="A796" s="13">
        <v>795</v>
      </c>
      <c r="B796" s="14">
        <v>45914</v>
      </c>
      <c r="C796" s="15"/>
      <c r="D796" s="18" t="s">
        <v>32</v>
      </c>
      <c r="E796" s="17">
        <v>30000</v>
      </c>
      <c r="F796" s="13">
        <v>180</v>
      </c>
      <c r="G796" s="13">
        <v>684</v>
      </c>
      <c r="H796" s="19">
        <v>700000</v>
      </c>
      <c r="I796" s="19">
        <v>350000</v>
      </c>
      <c r="J796" s="20" t="s">
        <v>37</v>
      </c>
      <c r="K796" s="13">
        <v>45</v>
      </c>
      <c r="L796" s="18" t="s">
        <v>41</v>
      </c>
      <c r="M796" s="21" t="s">
        <v>39</v>
      </c>
      <c r="N796" s="16" t="s">
        <v>36</v>
      </c>
      <c r="O796" t="str">
        <f>IF(TRIM(J796)="","NULL",IFERROR(VLOOKUP(TRIM(J796),Lookup_PropertyType!$A:$B,2,FALSE()),"other"))</f>
        <v>house</v>
      </c>
      <c r="P796">
        <f t="shared" si="12"/>
        <v>0</v>
      </c>
    </row>
    <row r="797" spans="1:16" ht="15.75" customHeight="1" x14ac:dyDescent="0.35">
      <c r="A797" s="13">
        <v>796</v>
      </c>
      <c r="B797" s="14">
        <v>45935</v>
      </c>
      <c r="C797" s="15"/>
      <c r="D797" s="18" t="s">
        <v>32</v>
      </c>
      <c r="E797" s="17">
        <v>19000</v>
      </c>
      <c r="F797" s="13">
        <v>180</v>
      </c>
      <c r="G797" s="13">
        <v>390</v>
      </c>
      <c r="H797" s="19">
        <v>340000</v>
      </c>
      <c r="I797" s="19">
        <v>180000</v>
      </c>
      <c r="J797" s="20" t="s">
        <v>33</v>
      </c>
      <c r="K797" s="13">
        <v>54</v>
      </c>
      <c r="L797" s="18" t="s">
        <v>38</v>
      </c>
      <c r="M797" s="21" t="s">
        <v>39</v>
      </c>
      <c r="N797" s="16" t="s">
        <v>42</v>
      </c>
      <c r="O797" t="str">
        <f>IF(TRIM(J797)="","NULL",IFERROR(VLOOKUP(TRIM(J797),Lookup_PropertyType!$A:$B,2,FALSE()),"other"))</f>
        <v>apartment</v>
      </c>
      <c r="P797">
        <f t="shared" si="12"/>
        <v>0</v>
      </c>
    </row>
    <row r="798" spans="1:16" ht="15.75" customHeight="1" x14ac:dyDescent="0.35">
      <c r="A798" s="13">
        <v>797</v>
      </c>
      <c r="B798" s="14">
        <v>45915</v>
      </c>
      <c r="C798" s="15"/>
      <c r="D798" s="18" t="s">
        <v>32</v>
      </c>
      <c r="E798" s="17">
        <v>3300</v>
      </c>
      <c r="F798" s="13">
        <v>90</v>
      </c>
      <c r="G798" s="13">
        <v>354</v>
      </c>
      <c r="H798" s="19">
        <v>310000</v>
      </c>
      <c r="I798" s="19">
        <v>45000</v>
      </c>
      <c r="J798" s="20" t="s">
        <v>37</v>
      </c>
      <c r="K798" s="13">
        <v>44</v>
      </c>
      <c r="L798" s="18" t="s">
        <v>38</v>
      </c>
      <c r="M798" s="21" t="s">
        <v>54</v>
      </c>
      <c r="N798" s="16" t="s">
        <v>42</v>
      </c>
      <c r="O798" t="str">
        <f>IF(TRIM(J798)="","NULL",IFERROR(VLOOKUP(TRIM(J798),Lookup_PropertyType!$A:$B,2,FALSE()),"other"))</f>
        <v>house</v>
      </c>
      <c r="P798">
        <f t="shared" si="12"/>
        <v>0</v>
      </c>
    </row>
    <row r="799" spans="1:16" ht="15.75" customHeight="1" x14ac:dyDescent="0.35">
      <c r="A799" s="13">
        <v>798</v>
      </c>
      <c r="B799" s="14">
        <v>45925</v>
      </c>
      <c r="C799" s="15"/>
      <c r="D799" s="18" t="s">
        <v>32</v>
      </c>
      <c r="E799" s="17">
        <v>11000</v>
      </c>
      <c r="F799" s="13">
        <v>180</v>
      </c>
      <c r="G799" s="13">
        <v>824</v>
      </c>
      <c r="H799" s="19">
        <v>650000</v>
      </c>
      <c r="I799" s="19">
        <v>90000</v>
      </c>
      <c r="J799" s="20" t="s">
        <v>33</v>
      </c>
      <c r="K799" s="13">
        <v>45</v>
      </c>
      <c r="L799" s="18" t="s">
        <v>38</v>
      </c>
      <c r="M799" s="21" t="s">
        <v>39</v>
      </c>
      <c r="N799" s="16" t="s">
        <v>42</v>
      </c>
      <c r="O799" t="str">
        <f>IF(TRIM(J799)="","NULL",IFERROR(VLOOKUP(TRIM(J799),Lookup_PropertyType!$A:$B,2,FALSE()),"other"))</f>
        <v>apartment</v>
      </c>
      <c r="P799">
        <f t="shared" si="12"/>
        <v>0</v>
      </c>
    </row>
    <row r="800" spans="1:16" ht="15.75" customHeight="1" x14ac:dyDescent="0.35">
      <c r="A800" s="13">
        <v>799</v>
      </c>
      <c r="B800" s="14">
        <v>45955</v>
      </c>
      <c r="C800" s="15"/>
      <c r="D800" s="18" t="s">
        <v>32</v>
      </c>
      <c r="E800" s="17">
        <v>8000</v>
      </c>
      <c r="F800" s="13">
        <v>180</v>
      </c>
      <c r="G800" s="13">
        <v>820</v>
      </c>
      <c r="H800" s="19">
        <v>420000</v>
      </c>
      <c r="I800" s="19">
        <v>110000</v>
      </c>
      <c r="J800" s="20" t="s">
        <v>33</v>
      </c>
      <c r="K800" s="13">
        <v>46</v>
      </c>
      <c r="L800" s="18" t="s">
        <v>38</v>
      </c>
      <c r="M800" s="21" t="s">
        <v>39</v>
      </c>
      <c r="N800" s="16" t="s">
        <v>42</v>
      </c>
      <c r="O800" t="str">
        <f>IF(TRIM(J800)="","NULL",IFERROR(VLOOKUP(TRIM(J800),Lookup_PropertyType!$A:$B,2,FALSE()),"other"))</f>
        <v>apartment</v>
      </c>
      <c r="P800">
        <f t="shared" si="12"/>
        <v>0</v>
      </c>
    </row>
    <row r="801" spans="1:16" ht="15.75" customHeight="1" x14ac:dyDescent="0.35">
      <c r="A801" s="13">
        <v>800</v>
      </c>
      <c r="B801" s="14">
        <v>45956</v>
      </c>
      <c r="C801" s="15"/>
      <c r="D801" s="18" t="s">
        <v>32</v>
      </c>
      <c r="E801" s="17">
        <v>15000</v>
      </c>
      <c r="F801" s="13">
        <v>180</v>
      </c>
      <c r="G801" s="13">
        <v>442</v>
      </c>
      <c r="H801" s="19">
        <v>280000</v>
      </c>
      <c r="I801" s="19">
        <v>150000</v>
      </c>
      <c r="J801" s="20" t="s">
        <v>33</v>
      </c>
      <c r="K801" s="13">
        <v>41</v>
      </c>
      <c r="L801" s="18" t="s">
        <v>41</v>
      </c>
      <c r="M801" s="21" t="s">
        <v>39</v>
      </c>
      <c r="N801" s="16" t="s">
        <v>36</v>
      </c>
      <c r="O801" t="str">
        <f>IF(TRIM(J801)="","NULL",IFERROR(VLOOKUP(TRIM(J801),Lookup_PropertyType!$A:$B,2,FALSE()),"other"))</f>
        <v>apartment</v>
      </c>
      <c r="P801">
        <f t="shared" si="12"/>
        <v>0</v>
      </c>
    </row>
    <row r="802" spans="1:16" ht="15.75" customHeight="1" x14ac:dyDescent="0.35">
      <c r="A802" s="13">
        <v>801</v>
      </c>
      <c r="B802" s="14">
        <v>45926</v>
      </c>
      <c r="C802" s="15"/>
      <c r="D802" s="18" t="s">
        <v>58</v>
      </c>
      <c r="E802" s="17">
        <v>5000</v>
      </c>
      <c r="F802" s="13">
        <v>180</v>
      </c>
      <c r="G802" s="13">
        <v>250</v>
      </c>
      <c r="H802" s="19">
        <v>550000</v>
      </c>
      <c r="I802" s="19">
        <v>100000</v>
      </c>
      <c r="J802" s="20" t="s">
        <v>37</v>
      </c>
      <c r="K802" s="13">
        <v>44</v>
      </c>
      <c r="L802" s="18" t="s">
        <v>41</v>
      </c>
      <c r="M802" s="18" t="s">
        <v>67</v>
      </c>
      <c r="N802" s="16" t="s">
        <v>36</v>
      </c>
      <c r="O802" t="str">
        <f>IF(TRIM(J802)="","NULL",IFERROR(VLOOKUP(TRIM(J802),Lookup_PropertyType!$A:$B,2,FALSE()),"other"))</f>
        <v>house</v>
      </c>
      <c r="P802">
        <f t="shared" si="12"/>
        <v>0</v>
      </c>
    </row>
    <row r="803" spans="1:16" ht="15.75" customHeight="1" x14ac:dyDescent="0.35">
      <c r="A803" s="13">
        <v>802</v>
      </c>
      <c r="B803" s="14">
        <v>45922</v>
      </c>
      <c r="C803" s="14">
        <v>45961</v>
      </c>
      <c r="D803" s="18" t="s">
        <v>32</v>
      </c>
      <c r="E803" s="17">
        <v>9000</v>
      </c>
      <c r="F803" s="13">
        <v>180</v>
      </c>
      <c r="G803" s="13">
        <v>881</v>
      </c>
      <c r="H803" s="19">
        <v>350000</v>
      </c>
      <c r="I803" s="19">
        <v>125000</v>
      </c>
      <c r="J803" s="20" t="s">
        <v>37</v>
      </c>
      <c r="K803" s="13">
        <v>35</v>
      </c>
      <c r="L803" s="18" t="s">
        <v>41</v>
      </c>
      <c r="M803" s="21" t="s">
        <v>39</v>
      </c>
      <c r="N803" s="16" t="s">
        <v>42</v>
      </c>
      <c r="O803" t="str">
        <f>IF(TRIM(J803)="","NULL",IFERROR(VLOOKUP(TRIM(J803),Lookup_PropertyType!$A:$B,2,FALSE()),"other"))</f>
        <v>house</v>
      </c>
      <c r="P803">
        <f t="shared" si="12"/>
        <v>1</v>
      </c>
    </row>
    <row r="804" spans="1:16" ht="15.75" customHeight="1" x14ac:dyDescent="0.35">
      <c r="A804" s="13">
        <v>803</v>
      </c>
      <c r="B804" s="14">
        <v>45929</v>
      </c>
      <c r="C804" s="15"/>
      <c r="D804" s="18" t="s">
        <v>55</v>
      </c>
      <c r="E804" s="17">
        <v>11500</v>
      </c>
      <c r="F804" s="13">
        <v>180</v>
      </c>
      <c r="G804" s="13">
        <v>252</v>
      </c>
      <c r="H804" s="19">
        <v>700000</v>
      </c>
      <c r="I804" s="19">
        <v>180000</v>
      </c>
      <c r="J804" s="20" t="s">
        <v>33</v>
      </c>
      <c r="K804" s="13">
        <v>52</v>
      </c>
      <c r="L804" s="18" t="s">
        <v>41</v>
      </c>
      <c r="M804" s="21" t="s">
        <v>35</v>
      </c>
      <c r="N804" s="16" t="s">
        <v>36</v>
      </c>
      <c r="O804" t="str">
        <f>IF(TRIM(J804)="","NULL",IFERROR(VLOOKUP(TRIM(J804),Lookup_PropertyType!$A:$B,2,FALSE()),"other"))</f>
        <v>apartment</v>
      </c>
      <c r="P804">
        <f t="shared" si="12"/>
        <v>0</v>
      </c>
    </row>
    <row r="805" spans="1:16" ht="15.75" customHeight="1" x14ac:dyDescent="0.35">
      <c r="A805" s="13">
        <v>804</v>
      </c>
      <c r="B805" s="14">
        <v>46012</v>
      </c>
      <c r="C805" s="14">
        <v>46109</v>
      </c>
      <c r="D805" s="18" t="s">
        <v>58</v>
      </c>
      <c r="E805" s="17">
        <v>36000</v>
      </c>
      <c r="F805" s="13">
        <v>180</v>
      </c>
      <c r="G805" s="13">
        <v>966</v>
      </c>
      <c r="H805" s="19">
        <v>350000</v>
      </c>
      <c r="I805" s="19">
        <v>300000</v>
      </c>
      <c r="J805" s="20" t="s">
        <v>37</v>
      </c>
      <c r="K805" s="13">
        <v>38</v>
      </c>
      <c r="L805" s="18" t="s">
        <v>59</v>
      </c>
      <c r="M805" s="21" t="s">
        <v>35</v>
      </c>
      <c r="N805" s="16" t="s">
        <v>40</v>
      </c>
      <c r="O805" t="str">
        <f>IF(TRIM(J805)="","NULL",IFERROR(VLOOKUP(TRIM(J805),Lookup_PropertyType!$A:$B,2,FALSE()),"other"))</f>
        <v>house</v>
      </c>
      <c r="P805">
        <f t="shared" si="12"/>
        <v>1</v>
      </c>
    </row>
    <row r="806" spans="1:16" ht="15.75" customHeight="1" x14ac:dyDescent="0.35">
      <c r="A806" s="13">
        <v>805</v>
      </c>
      <c r="B806" s="14">
        <v>45977</v>
      </c>
      <c r="C806" s="15"/>
      <c r="D806" s="18" t="s">
        <v>32</v>
      </c>
      <c r="E806" s="17">
        <v>15000</v>
      </c>
      <c r="F806" s="13">
        <v>180</v>
      </c>
      <c r="G806" s="13">
        <v>538</v>
      </c>
      <c r="H806" s="19">
        <v>400000</v>
      </c>
      <c r="I806" s="19">
        <v>50000</v>
      </c>
      <c r="J806" s="20" t="s">
        <v>33</v>
      </c>
      <c r="K806" s="13">
        <v>38</v>
      </c>
      <c r="L806" s="18" t="s">
        <v>41</v>
      </c>
      <c r="M806" s="21" t="s">
        <v>54</v>
      </c>
      <c r="N806" s="16" t="s">
        <v>51</v>
      </c>
      <c r="O806" t="str">
        <f>IF(TRIM(J806)="","NULL",IFERROR(VLOOKUP(TRIM(J806),Lookup_PropertyType!$A:$B,2,FALSE()),"other"))</f>
        <v>apartment</v>
      </c>
      <c r="P806">
        <f t="shared" si="12"/>
        <v>0</v>
      </c>
    </row>
    <row r="807" spans="1:16" ht="15.75" customHeight="1" x14ac:dyDescent="0.35">
      <c r="A807" s="13">
        <v>806</v>
      </c>
      <c r="B807" s="14">
        <v>45984</v>
      </c>
      <c r="C807" s="15"/>
      <c r="D807" s="18" t="s">
        <v>32</v>
      </c>
      <c r="E807" s="17">
        <v>5000</v>
      </c>
      <c r="F807" s="13">
        <v>120</v>
      </c>
      <c r="G807" s="13">
        <v>715</v>
      </c>
      <c r="H807" s="19">
        <v>600000</v>
      </c>
      <c r="I807" s="19">
        <v>30000</v>
      </c>
      <c r="J807" s="20" t="s">
        <v>37</v>
      </c>
      <c r="K807" s="13">
        <v>55</v>
      </c>
      <c r="L807" s="18" t="s">
        <v>59</v>
      </c>
      <c r="M807" s="21" t="s">
        <v>54</v>
      </c>
      <c r="N807" s="16" t="s">
        <v>50</v>
      </c>
      <c r="O807" t="str">
        <f>IF(TRIM(J807)="","NULL",IFERROR(VLOOKUP(TRIM(J807),Lookup_PropertyType!$A:$B,2,FALSE()),"other"))</f>
        <v>house</v>
      </c>
      <c r="P807">
        <f t="shared" si="12"/>
        <v>0</v>
      </c>
    </row>
    <row r="808" spans="1:16" ht="15.75" customHeight="1" x14ac:dyDescent="0.35">
      <c r="A808" s="13">
        <v>807</v>
      </c>
      <c r="B808" s="14">
        <v>45933</v>
      </c>
      <c r="C808" s="15"/>
      <c r="D808" s="18" t="s">
        <v>32</v>
      </c>
      <c r="E808" s="17">
        <v>13000</v>
      </c>
      <c r="F808" s="13">
        <v>180</v>
      </c>
      <c r="G808" s="13">
        <v>827</v>
      </c>
      <c r="H808" s="19">
        <v>900000</v>
      </c>
      <c r="I808" s="19">
        <v>200000</v>
      </c>
      <c r="J808" s="20" t="s">
        <v>33</v>
      </c>
      <c r="K808" s="13">
        <v>28</v>
      </c>
      <c r="L808" s="18" t="s">
        <v>38</v>
      </c>
      <c r="M808" s="21" t="s">
        <v>54</v>
      </c>
      <c r="N808" s="16" t="s">
        <v>42</v>
      </c>
      <c r="O808" t="str">
        <f>IF(TRIM(J808)="","NULL",IFERROR(VLOOKUP(TRIM(J808),Lookup_PropertyType!$A:$B,2,FALSE()),"other"))</f>
        <v>apartment</v>
      </c>
      <c r="P808">
        <f t="shared" si="12"/>
        <v>0</v>
      </c>
    </row>
    <row r="809" spans="1:16" ht="15.75" customHeight="1" x14ac:dyDescent="0.35">
      <c r="A809" s="13">
        <v>808</v>
      </c>
      <c r="B809" s="14">
        <v>45927</v>
      </c>
      <c r="C809" s="15"/>
      <c r="D809" s="18" t="s">
        <v>32</v>
      </c>
      <c r="E809" s="17">
        <v>15000</v>
      </c>
      <c r="F809" s="13">
        <v>180</v>
      </c>
      <c r="G809" s="13">
        <v>774</v>
      </c>
      <c r="H809" s="19">
        <v>420000</v>
      </c>
      <c r="I809" s="19">
        <v>100000</v>
      </c>
      <c r="J809" s="20" t="s">
        <v>33</v>
      </c>
      <c r="K809" s="13">
        <v>46</v>
      </c>
      <c r="L809" s="18" t="s">
        <v>38</v>
      </c>
      <c r="M809" s="21" t="s">
        <v>39</v>
      </c>
      <c r="N809" s="16" t="s">
        <v>42</v>
      </c>
      <c r="O809" t="str">
        <f>IF(TRIM(J809)="","NULL",IFERROR(VLOOKUP(TRIM(J809),Lookup_PropertyType!$A:$B,2,FALSE()),"other"))</f>
        <v>apartment</v>
      </c>
      <c r="P809">
        <f t="shared" si="12"/>
        <v>0</v>
      </c>
    </row>
    <row r="810" spans="1:16" ht="15.75" customHeight="1" x14ac:dyDescent="0.35">
      <c r="A810" s="13">
        <v>809</v>
      </c>
      <c r="B810" s="14">
        <v>45919</v>
      </c>
      <c r="C810" s="14">
        <v>45961</v>
      </c>
      <c r="D810" s="18" t="s">
        <v>32</v>
      </c>
      <c r="E810" s="17">
        <v>8000</v>
      </c>
      <c r="F810" s="13">
        <v>180</v>
      </c>
      <c r="G810" s="13">
        <v>862</v>
      </c>
      <c r="H810" s="19">
        <v>400000</v>
      </c>
      <c r="I810" s="19">
        <v>60000</v>
      </c>
      <c r="J810" s="20" t="s">
        <v>37</v>
      </c>
      <c r="K810" s="13">
        <v>32</v>
      </c>
      <c r="L810" s="18" t="s">
        <v>38</v>
      </c>
      <c r="M810" s="21" t="s">
        <v>35</v>
      </c>
      <c r="N810" s="16" t="s">
        <v>42</v>
      </c>
      <c r="O810" t="str">
        <f>IF(TRIM(J810)="","NULL",IFERROR(VLOOKUP(TRIM(J810),Lookup_PropertyType!$A:$B,2,FALSE()),"other"))</f>
        <v>house</v>
      </c>
      <c r="P810">
        <f t="shared" si="12"/>
        <v>1</v>
      </c>
    </row>
    <row r="811" spans="1:16" ht="15.75" customHeight="1" x14ac:dyDescent="0.35">
      <c r="A811" s="13">
        <v>810</v>
      </c>
      <c r="B811" s="14">
        <v>45939</v>
      </c>
      <c r="C811" s="15"/>
      <c r="D811" s="18" t="s">
        <v>32</v>
      </c>
      <c r="E811" s="17">
        <v>4000</v>
      </c>
      <c r="F811" s="13">
        <v>180</v>
      </c>
      <c r="G811" s="13">
        <v>951</v>
      </c>
      <c r="H811" s="19">
        <v>300000</v>
      </c>
      <c r="I811" s="19">
        <v>60000</v>
      </c>
      <c r="J811" s="20" t="s">
        <v>37</v>
      </c>
      <c r="K811" s="13">
        <v>58</v>
      </c>
      <c r="L811" s="18" t="s">
        <v>38</v>
      </c>
      <c r="M811" s="18" t="s">
        <v>72</v>
      </c>
      <c r="N811" s="16" t="s">
        <v>43</v>
      </c>
      <c r="O811" t="str">
        <f>IF(TRIM(J811)="","NULL",IFERROR(VLOOKUP(TRIM(J811),Lookup_PropertyType!$A:$B,2,FALSE()),"other"))</f>
        <v>house</v>
      </c>
      <c r="P811">
        <f t="shared" si="12"/>
        <v>0</v>
      </c>
    </row>
    <row r="812" spans="1:16" ht="15.75" customHeight="1" x14ac:dyDescent="0.35">
      <c r="A812" s="13">
        <v>811</v>
      </c>
      <c r="B812" s="14">
        <v>45920</v>
      </c>
      <c r="C812" s="14">
        <v>45970</v>
      </c>
      <c r="D812" s="18" t="s">
        <v>32</v>
      </c>
      <c r="E812" s="17">
        <v>15000</v>
      </c>
      <c r="F812" s="13">
        <v>180</v>
      </c>
      <c r="G812" s="13">
        <v>912</v>
      </c>
      <c r="H812" s="19">
        <v>450000</v>
      </c>
      <c r="I812" s="19">
        <v>60000</v>
      </c>
      <c r="J812" s="20" t="s">
        <v>33</v>
      </c>
      <c r="K812" s="13">
        <v>59</v>
      </c>
      <c r="L812" s="18" t="s">
        <v>41</v>
      </c>
      <c r="M812" s="21" t="s">
        <v>39</v>
      </c>
      <c r="N812" s="16" t="s">
        <v>50</v>
      </c>
      <c r="O812" t="str">
        <f>IF(TRIM(J812)="","NULL",IFERROR(VLOOKUP(TRIM(J812),Lookup_PropertyType!$A:$B,2,FALSE()),"other"))</f>
        <v>apartment</v>
      </c>
      <c r="P812">
        <f t="shared" si="12"/>
        <v>1</v>
      </c>
    </row>
    <row r="813" spans="1:16" ht="15.75" customHeight="1" x14ac:dyDescent="0.35">
      <c r="A813" s="13">
        <v>812</v>
      </c>
      <c r="B813" s="14">
        <v>45922</v>
      </c>
      <c r="C813" s="15"/>
      <c r="D813" s="18" t="s">
        <v>49</v>
      </c>
      <c r="E813" s="17">
        <v>33000</v>
      </c>
      <c r="F813" s="13">
        <v>90</v>
      </c>
      <c r="G813" s="13">
        <v>466</v>
      </c>
      <c r="H813" s="19">
        <v>900000</v>
      </c>
      <c r="I813" s="19">
        <v>400000</v>
      </c>
      <c r="J813" s="20" t="s">
        <v>33</v>
      </c>
      <c r="K813" s="13">
        <v>65</v>
      </c>
      <c r="L813" s="18" t="s">
        <v>41</v>
      </c>
      <c r="M813" s="18" t="s">
        <v>72</v>
      </c>
      <c r="N813" s="16" t="s">
        <v>42</v>
      </c>
      <c r="O813" t="str">
        <f>IF(TRIM(J813)="","NULL",IFERROR(VLOOKUP(TRIM(J813),Lookup_PropertyType!$A:$B,2,FALSE()),"other"))</f>
        <v>apartment</v>
      </c>
      <c r="P813">
        <f t="shared" si="12"/>
        <v>0</v>
      </c>
    </row>
    <row r="814" spans="1:16" ht="15.75" customHeight="1" x14ac:dyDescent="0.35">
      <c r="A814" s="13">
        <v>813</v>
      </c>
      <c r="B814" s="14">
        <v>45920</v>
      </c>
      <c r="C814" s="14">
        <v>45982</v>
      </c>
      <c r="D814" s="18"/>
      <c r="E814" s="17">
        <v>12000</v>
      </c>
      <c r="F814" s="13">
        <v>180</v>
      </c>
      <c r="G814" s="13">
        <v>1000</v>
      </c>
      <c r="H814" s="19">
        <v>350000</v>
      </c>
      <c r="I814" s="19">
        <v>35000</v>
      </c>
      <c r="J814" s="20" t="s">
        <v>33</v>
      </c>
      <c r="K814" s="13">
        <v>61</v>
      </c>
      <c r="L814" s="18" t="s">
        <v>38</v>
      </c>
      <c r="M814" s="21" t="s">
        <v>39</v>
      </c>
      <c r="N814" s="16" t="s">
        <v>42</v>
      </c>
      <c r="O814" t="str">
        <f>IF(TRIM(J814)="","NULL",IFERROR(VLOOKUP(TRIM(J814),Lookup_PropertyType!$A:$B,2,FALSE()),"other"))</f>
        <v>apartment</v>
      </c>
      <c r="P814">
        <f t="shared" si="12"/>
        <v>1</v>
      </c>
    </row>
    <row r="815" spans="1:16" ht="15.75" customHeight="1" x14ac:dyDescent="0.35">
      <c r="A815" s="13">
        <v>814</v>
      </c>
      <c r="B815" s="14">
        <v>45927</v>
      </c>
      <c r="C815" s="15"/>
      <c r="D815" s="18" t="s">
        <v>32</v>
      </c>
      <c r="E815" s="17">
        <v>6000</v>
      </c>
      <c r="F815" s="13">
        <v>180</v>
      </c>
      <c r="G815" s="13">
        <v>590</v>
      </c>
      <c r="H815" s="19">
        <v>750000</v>
      </c>
      <c r="I815" s="19">
        <v>30000</v>
      </c>
      <c r="J815" s="20" t="s">
        <v>33</v>
      </c>
      <c r="K815" s="13">
        <v>55</v>
      </c>
      <c r="L815" s="18" t="s">
        <v>59</v>
      </c>
      <c r="M815" s="21" t="s">
        <v>54</v>
      </c>
      <c r="N815" s="16" t="s">
        <v>42</v>
      </c>
      <c r="O815" t="str">
        <f>IF(TRIM(J815)="","NULL",IFERROR(VLOOKUP(TRIM(J815),Lookup_PropertyType!$A:$B,2,FALSE()),"other"))</f>
        <v>apartment</v>
      </c>
      <c r="P815">
        <f t="shared" si="12"/>
        <v>0</v>
      </c>
    </row>
    <row r="816" spans="1:16" ht="15.75" customHeight="1" x14ac:dyDescent="0.35">
      <c r="A816" s="13">
        <v>815</v>
      </c>
      <c r="B816" s="14">
        <v>45957</v>
      </c>
      <c r="C816" s="14">
        <v>46009</v>
      </c>
      <c r="D816" s="18" t="s">
        <v>32</v>
      </c>
      <c r="E816" s="17">
        <v>15500</v>
      </c>
      <c r="F816" s="13">
        <v>180</v>
      </c>
      <c r="G816" s="13">
        <v>847</v>
      </c>
      <c r="H816" s="19">
        <v>1200000</v>
      </c>
      <c r="I816" s="19">
        <v>300000</v>
      </c>
      <c r="J816" s="20" t="s">
        <v>33</v>
      </c>
      <c r="K816" s="13">
        <v>50</v>
      </c>
      <c r="L816" s="18" t="s">
        <v>38</v>
      </c>
      <c r="M816" s="21" t="s">
        <v>39</v>
      </c>
      <c r="N816" s="16" t="s">
        <v>42</v>
      </c>
      <c r="O816" t="str">
        <f>IF(TRIM(J816)="","NULL",IFERROR(VLOOKUP(TRIM(J816),Lookup_PropertyType!$A:$B,2,FALSE()),"other"))</f>
        <v>apartment</v>
      </c>
      <c r="P816">
        <f t="shared" si="12"/>
        <v>1</v>
      </c>
    </row>
    <row r="817" spans="1:16" ht="15.75" customHeight="1" x14ac:dyDescent="0.35">
      <c r="A817" s="13">
        <v>816</v>
      </c>
      <c r="B817" s="14">
        <v>45919</v>
      </c>
      <c r="C817" s="15"/>
      <c r="D817" s="18" t="s">
        <v>32</v>
      </c>
      <c r="E817" s="17">
        <v>9234</v>
      </c>
      <c r="F817" s="13">
        <v>180</v>
      </c>
      <c r="G817" s="13">
        <v>332</v>
      </c>
      <c r="H817" s="19">
        <v>350000</v>
      </c>
      <c r="I817" s="19">
        <v>80000</v>
      </c>
      <c r="J817" s="20" t="s">
        <v>33</v>
      </c>
      <c r="K817" s="13">
        <v>53</v>
      </c>
      <c r="L817" s="18" t="s">
        <v>38</v>
      </c>
      <c r="M817" s="21" t="s">
        <v>39</v>
      </c>
      <c r="N817" s="16" t="s">
        <v>42</v>
      </c>
      <c r="O817" t="str">
        <f>IF(TRIM(J817)="","NULL",IFERROR(VLOOKUP(TRIM(J817),Lookup_PropertyType!$A:$B,2,FALSE()),"other"))</f>
        <v>apartment</v>
      </c>
      <c r="P817">
        <f t="shared" si="12"/>
        <v>0</v>
      </c>
    </row>
    <row r="818" spans="1:16" ht="15.75" customHeight="1" x14ac:dyDescent="0.35">
      <c r="A818" s="13">
        <v>817</v>
      </c>
      <c r="B818" s="14">
        <v>45921</v>
      </c>
      <c r="C818" s="15"/>
      <c r="D818" s="18" t="s">
        <v>58</v>
      </c>
      <c r="E818" s="17">
        <v>15000</v>
      </c>
      <c r="F818" s="13">
        <v>180</v>
      </c>
      <c r="G818" s="13">
        <v>173</v>
      </c>
      <c r="H818" s="19">
        <v>1200000</v>
      </c>
      <c r="I818" s="19">
        <v>300000</v>
      </c>
      <c r="J818" s="20" t="s">
        <v>33</v>
      </c>
      <c r="K818" s="13">
        <v>58</v>
      </c>
      <c r="L818" s="18" t="s">
        <v>41</v>
      </c>
      <c r="M818" s="21" t="s">
        <v>39</v>
      </c>
      <c r="N818" s="16" t="s">
        <v>48</v>
      </c>
      <c r="O818" t="str">
        <f>IF(TRIM(J818)="","NULL",IFERROR(VLOOKUP(TRIM(J818),Lookup_PropertyType!$A:$B,2,FALSE()),"other"))</f>
        <v>apartment</v>
      </c>
      <c r="P818">
        <f t="shared" si="12"/>
        <v>0</v>
      </c>
    </row>
    <row r="819" spans="1:16" ht="15.75" customHeight="1" x14ac:dyDescent="0.35">
      <c r="A819" s="13">
        <v>818</v>
      </c>
      <c r="B819" s="14">
        <v>45953</v>
      </c>
      <c r="C819" s="15"/>
      <c r="D819" s="18" t="s">
        <v>46</v>
      </c>
      <c r="E819" s="17">
        <v>11000</v>
      </c>
      <c r="F819" s="13">
        <v>180</v>
      </c>
      <c r="G819" s="13">
        <v>506</v>
      </c>
      <c r="H819" s="19">
        <v>320000</v>
      </c>
      <c r="I819" s="19">
        <v>130000</v>
      </c>
      <c r="J819" s="20" t="s">
        <v>37</v>
      </c>
      <c r="K819" s="13">
        <v>42</v>
      </c>
      <c r="L819" s="18" t="s">
        <v>59</v>
      </c>
      <c r="M819" s="21" t="s">
        <v>54</v>
      </c>
      <c r="N819" s="16" t="s">
        <v>42</v>
      </c>
      <c r="O819" t="str">
        <f>IF(TRIM(J819)="","NULL",IFERROR(VLOOKUP(TRIM(J819),Lookup_PropertyType!$A:$B,2,FALSE()),"other"))</f>
        <v>house</v>
      </c>
      <c r="P819">
        <f t="shared" si="12"/>
        <v>0</v>
      </c>
    </row>
    <row r="820" spans="1:16" ht="15.75" customHeight="1" x14ac:dyDescent="0.35">
      <c r="A820" s="13">
        <v>819</v>
      </c>
      <c r="B820" s="14">
        <v>46018</v>
      </c>
      <c r="C820" s="15"/>
      <c r="D820" s="18" t="s">
        <v>58</v>
      </c>
      <c r="E820" s="17">
        <v>4000</v>
      </c>
      <c r="F820" s="13">
        <v>180</v>
      </c>
      <c r="G820" s="13">
        <v>253</v>
      </c>
      <c r="H820" s="19">
        <v>300000</v>
      </c>
      <c r="I820" s="19">
        <v>40000</v>
      </c>
      <c r="J820" s="20" t="s">
        <v>37</v>
      </c>
      <c r="K820" s="13">
        <v>33</v>
      </c>
      <c r="L820" s="18" t="s">
        <v>38</v>
      </c>
      <c r="M820" s="18" t="s">
        <v>39</v>
      </c>
      <c r="N820" s="16" t="s">
        <v>36</v>
      </c>
      <c r="O820" t="str">
        <f>IF(TRIM(J820)="","NULL",IFERROR(VLOOKUP(TRIM(J820),Lookup_PropertyType!$A:$B,2,FALSE()),"other"))</f>
        <v>house</v>
      </c>
      <c r="P820">
        <f t="shared" si="12"/>
        <v>0</v>
      </c>
    </row>
    <row r="821" spans="1:16" ht="15.75" customHeight="1" x14ac:dyDescent="0.35">
      <c r="A821" s="13">
        <v>820</v>
      </c>
      <c r="B821" s="14">
        <v>45915</v>
      </c>
      <c r="C821" s="15"/>
      <c r="D821" s="18" t="s">
        <v>32</v>
      </c>
      <c r="E821" s="17">
        <v>7000</v>
      </c>
      <c r="F821" s="13">
        <v>180</v>
      </c>
      <c r="G821" s="13">
        <v>875</v>
      </c>
      <c r="H821" s="19">
        <v>275000</v>
      </c>
      <c r="I821" s="19">
        <v>80000</v>
      </c>
      <c r="J821" s="20" t="s">
        <v>33</v>
      </c>
      <c r="K821" s="13">
        <v>42</v>
      </c>
      <c r="L821" s="18" t="s">
        <v>38</v>
      </c>
      <c r="M821" s="18" t="s">
        <v>67</v>
      </c>
      <c r="N821" s="16" t="s">
        <v>40</v>
      </c>
      <c r="O821" t="str">
        <f>IF(TRIM(J821)="","NULL",IFERROR(VLOOKUP(TRIM(J821),Lookup_PropertyType!$A:$B,2,FALSE()),"other"))</f>
        <v>apartment</v>
      </c>
      <c r="P821">
        <f t="shared" si="12"/>
        <v>0</v>
      </c>
    </row>
    <row r="822" spans="1:16" ht="15.75" customHeight="1" x14ac:dyDescent="0.35">
      <c r="A822" s="13">
        <v>821</v>
      </c>
      <c r="B822" s="14">
        <v>45919</v>
      </c>
      <c r="C822" s="14">
        <v>45985</v>
      </c>
      <c r="D822" s="18" t="s">
        <v>32</v>
      </c>
      <c r="E822" s="17">
        <v>12000</v>
      </c>
      <c r="F822" s="13">
        <v>120</v>
      </c>
      <c r="G822" s="13">
        <v>384</v>
      </c>
      <c r="H822" s="19">
        <v>600000</v>
      </c>
      <c r="I822" s="19">
        <v>150000</v>
      </c>
      <c r="J822" s="20" t="s">
        <v>75</v>
      </c>
      <c r="K822" s="13">
        <v>37</v>
      </c>
      <c r="L822" s="18" t="s">
        <v>38</v>
      </c>
      <c r="M822" s="18" t="s">
        <v>72</v>
      </c>
      <c r="N822" s="16" t="s">
        <v>36</v>
      </c>
      <c r="O822" t="str">
        <f>IF(TRIM(J822)="","NULL",IFERROR(VLOOKUP(TRIM(J822),Lookup_PropertyType!$A:$B,2,FALSE()),"other"))</f>
        <v>apartment</v>
      </c>
      <c r="P822">
        <f t="shared" si="12"/>
        <v>1</v>
      </c>
    </row>
    <row r="823" spans="1:16" ht="15.75" customHeight="1" x14ac:dyDescent="0.35">
      <c r="A823" s="13">
        <v>822</v>
      </c>
      <c r="B823" s="14">
        <v>45920</v>
      </c>
      <c r="C823" s="15"/>
      <c r="D823" s="18" t="s">
        <v>46</v>
      </c>
      <c r="E823" s="17">
        <v>7500</v>
      </c>
      <c r="F823" s="13">
        <v>120</v>
      </c>
      <c r="G823" s="13">
        <v>271</v>
      </c>
      <c r="H823" s="19">
        <v>430000</v>
      </c>
      <c r="I823" s="19">
        <v>100000</v>
      </c>
      <c r="J823" s="20" t="s">
        <v>37</v>
      </c>
      <c r="K823" s="13">
        <v>32</v>
      </c>
      <c r="L823" s="18" t="s">
        <v>38</v>
      </c>
      <c r="M823" s="18" t="s">
        <v>48</v>
      </c>
      <c r="N823" s="16" t="s">
        <v>42</v>
      </c>
      <c r="O823" t="str">
        <f>IF(TRIM(J823)="","NULL",IFERROR(VLOOKUP(TRIM(J823),Lookup_PropertyType!$A:$B,2,FALSE()),"other"))</f>
        <v>house</v>
      </c>
      <c r="P823">
        <f t="shared" si="12"/>
        <v>0</v>
      </c>
    </row>
    <row r="824" spans="1:16" ht="15.75" customHeight="1" x14ac:dyDescent="0.35">
      <c r="A824" s="13">
        <v>823</v>
      </c>
      <c r="B824" s="14">
        <v>45968</v>
      </c>
      <c r="C824" s="15"/>
      <c r="D824" s="18" t="s">
        <v>32</v>
      </c>
      <c r="E824" s="17">
        <v>20000</v>
      </c>
      <c r="F824" s="13">
        <v>180</v>
      </c>
      <c r="G824" s="13">
        <v>776</v>
      </c>
      <c r="H824" s="19">
        <v>1500000</v>
      </c>
      <c r="I824" s="19">
        <v>500000</v>
      </c>
      <c r="J824" s="20" t="s">
        <v>33</v>
      </c>
      <c r="K824" s="13">
        <v>47</v>
      </c>
      <c r="L824" s="18" t="s">
        <v>45</v>
      </c>
      <c r="M824" s="21" t="s">
        <v>35</v>
      </c>
      <c r="N824" s="16" t="s">
        <v>36</v>
      </c>
      <c r="O824" t="str">
        <f>IF(TRIM(J824)="","NULL",IFERROR(VLOOKUP(TRIM(J824),Lookup_PropertyType!$A:$B,2,FALSE()),"other"))</f>
        <v>apartment</v>
      </c>
      <c r="P824">
        <f t="shared" si="12"/>
        <v>0</v>
      </c>
    </row>
    <row r="825" spans="1:16" ht="15.75" customHeight="1" x14ac:dyDescent="0.35">
      <c r="A825" s="13">
        <v>824</v>
      </c>
      <c r="B825" s="14">
        <v>45934</v>
      </c>
      <c r="C825" s="15"/>
      <c r="D825" s="18"/>
      <c r="E825" s="17">
        <v>10000</v>
      </c>
      <c r="F825" s="13">
        <v>180</v>
      </c>
      <c r="G825" s="13">
        <v>802</v>
      </c>
      <c r="H825" s="19">
        <v>200000</v>
      </c>
      <c r="I825" s="19">
        <v>60000</v>
      </c>
      <c r="J825" s="20" t="s">
        <v>37</v>
      </c>
      <c r="K825" s="13">
        <v>73</v>
      </c>
      <c r="L825" s="18" t="s">
        <v>45</v>
      </c>
      <c r="M825" s="21" t="s">
        <v>39</v>
      </c>
      <c r="N825" s="16" t="s">
        <v>43</v>
      </c>
      <c r="O825" t="str">
        <f>IF(TRIM(J825)="","NULL",IFERROR(VLOOKUP(TRIM(J825),Lookup_PropertyType!$A:$B,2,FALSE()),"other"))</f>
        <v>house</v>
      </c>
      <c r="P825">
        <f t="shared" si="12"/>
        <v>0</v>
      </c>
    </row>
    <row r="826" spans="1:16" ht="15.75" customHeight="1" x14ac:dyDescent="0.35">
      <c r="A826" s="13">
        <v>825</v>
      </c>
      <c r="B826" s="14">
        <v>45920</v>
      </c>
      <c r="C826" s="15"/>
      <c r="D826" s="18" t="s">
        <v>46</v>
      </c>
      <c r="E826" s="17">
        <v>14000</v>
      </c>
      <c r="F826" s="13">
        <v>90</v>
      </c>
      <c r="G826" s="13">
        <v>933</v>
      </c>
      <c r="H826" s="19">
        <v>550000</v>
      </c>
      <c r="I826" s="19">
        <v>250000</v>
      </c>
      <c r="J826" s="20" t="s">
        <v>33</v>
      </c>
      <c r="K826" s="13">
        <v>45</v>
      </c>
      <c r="L826" s="18" t="s">
        <v>38</v>
      </c>
      <c r="M826" s="21" t="s">
        <v>39</v>
      </c>
      <c r="N826" s="16" t="s">
        <v>42</v>
      </c>
      <c r="O826" t="str">
        <f>IF(TRIM(J826)="","NULL",IFERROR(VLOOKUP(TRIM(J826),Lookup_PropertyType!$A:$B,2,FALSE()),"other"))</f>
        <v>apartment</v>
      </c>
      <c r="P826">
        <f t="shared" si="12"/>
        <v>0</v>
      </c>
    </row>
    <row r="827" spans="1:16" ht="15.75" customHeight="1" x14ac:dyDescent="0.35">
      <c r="A827" s="13">
        <v>826</v>
      </c>
      <c r="B827" s="14">
        <v>45926</v>
      </c>
      <c r="C827" s="15"/>
      <c r="D827" s="18" t="s">
        <v>57</v>
      </c>
      <c r="E827" s="17">
        <v>16000</v>
      </c>
      <c r="F827" s="13">
        <v>180</v>
      </c>
      <c r="G827" s="13">
        <v>995</v>
      </c>
      <c r="H827" s="19">
        <v>1000000</v>
      </c>
      <c r="I827" s="19">
        <v>100000</v>
      </c>
      <c r="J827" s="20" t="s">
        <v>37</v>
      </c>
      <c r="K827" s="13">
        <v>58</v>
      </c>
      <c r="L827" s="18" t="s">
        <v>59</v>
      </c>
      <c r="M827" s="18" t="s">
        <v>39</v>
      </c>
      <c r="N827" s="16" t="s">
        <v>43</v>
      </c>
      <c r="O827" t="str">
        <f>IF(TRIM(J827)="","NULL",IFERROR(VLOOKUP(TRIM(J827),Lookup_PropertyType!$A:$B,2,FALSE()),"other"))</f>
        <v>house</v>
      </c>
      <c r="P827">
        <f t="shared" si="12"/>
        <v>0</v>
      </c>
    </row>
    <row r="828" spans="1:16" ht="15.75" customHeight="1" x14ac:dyDescent="0.35">
      <c r="A828" s="13">
        <v>827</v>
      </c>
      <c r="B828" s="14">
        <v>45921</v>
      </c>
      <c r="C828" s="15"/>
      <c r="D828" s="18" t="s">
        <v>32</v>
      </c>
      <c r="E828" s="17">
        <v>13400</v>
      </c>
      <c r="F828" s="13">
        <v>180</v>
      </c>
      <c r="G828" s="13">
        <v>339</v>
      </c>
      <c r="H828" s="19">
        <v>700000</v>
      </c>
      <c r="I828" s="19">
        <v>30000</v>
      </c>
      <c r="J828" s="20" t="s">
        <v>33</v>
      </c>
      <c r="K828" s="13">
        <v>44</v>
      </c>
      <c r="L828" s="18" t="s">
        <v>34</v>
      </c>
      <c r="M828" s="18" t="s">
        <v>72</v>
      </c>
      <c r="N828" s="16" t="s">
        <v>42</v>
      </c>
      <c r="O828" t="str">
        <f>IF(TRIM(J828)="","NULL",IFERROR(VLOOKUP(TRIM(J828),Lookup_PropertyType!$A:$B,2,FALSE()),"other"))</f>
        <v>apartment</v>
      </c>
      <c r="P828">
        <f t="shared" si="12"/>
        <v>0</v>
      </c>
    </row>
    <row r="829" spans="1:16" ht="15.75" customHeight="1" x14ac:dyDescent="0.35">
      <c r="A829" s="13">
        <v>828</v>
      </c>
      <c r="B829" s="14">
        <v>45918</v>
      </c>
      <c r="C829" s="15"/>
      <c r="D829" s="18" t="s">
        <v>57</v>
      </c>
      <c r="E829" s="17">
        <v>10500</v>
      </c>
      <c r="F829" s="13">
        <v>180</v>
      </c>
      <c r="G829" s="13">
        <v>253</v>
      </c>
      <c r="H829" s="19">
        <v>350000</v>
      </c>
      <c r="I829" s="19">
        <v>175000</v>
      </c>
      <c r="J829" s="20" t="s">
        <v>33</v>
      </c>
      <c r="K829" s="13">
        <v>39</v>
      </c>
      <c r="L829" s="18" t="s">
        <v>38</v>
      </c>
      <c r="M829" s="21" t="s">
        <v>39</v>
      </c>
      <c r="N829" s="16" t="s">
        <v>42</v>
      </c>
      <c r="O829" t="str">
        <f>IF(TRIM(J829)="","NULL",IFERROR(VLOOKUP(TRIM(J829),Lookup_PropertyType!$A:$B,2,FALSE()),"other"))</f>
        <v>apartment</v>
      </c>
      <c r="P829">
        <f t="shared" si="12"/>
        <v>0</v>
      </c>
    </row>
    <row r="830" spans="1:16" ht="15.75" customHeight="1" x14ac:dyDescent="0.35">
      <c r="A830" s="13">
        <v>829</v>
      </c>
      <c r="B830" s="14">
        <v>45918</v>
      </c>
      <c r="C830" s="15"/>
      <c r="D830" s="18" t="s">
        <v>32</v>
      </c>
      <c r="E830" s="17">
        <v>25000</v>
      </c>
      <c r="F830" s="13">
        <v>180</v>
      </c>
      <c r="G830" s="13">
        <v>446</v>
      </c>
      <c r="H830" s="19">
        <v>1790000</v>
      </c>
      <c r="I830" s="19">
        <v>190000</v>
      </c>
      <c r="J830" s="20" t="s">
        <v>33</v>
      </c>
      <c r="K830" s="13">
        <v>64</v>
      </c>
      <c r="L830" s="18" t="s">
        <v>38</v>
      </c>
      <c r="M830" s="21" t="s">
        <v>39</v>
      </c>
      <c r="N830" s="16" t="s">
        <v>36</v>
      </c>
      <c r="O830" t="str">
        <f>IF(TRIM(J830)="","NULL",IFERROR(VLOOKUP(TRIM(J830),Lookup_PropertyType!$A:$B,2,FALSE()),"other"))</f>
        <v>apartment</v>
      </c>
      <c r="P830">
        <f t="shared" si="12"/>
        <v>0</v>
      </c>
    </row>
    <row r="831" spans="1:16" ht="15.75" customHeight="1" x14ac:dyDescent="0.35">
      <c r="A831" s="13">
        <v>830</v>
      </c>
      <c r="B831" s="14">
        <v>45955</v>
      </c>
      <c r="C831" s="14">
        <v>46089</v>
      </c>
      <c r="D831" s="18" t="s">
        <v>32</v>
      </c>
      <c r="E831" s="17">
        <v>8000</v>
      </c>
      <c r="F831" s="13">
        <v>180</v>
      </c>
      <c r="G831" s="13">
        <v>694</v>
      </c>
      <c r="H831" s="19">
        <v>260000</v>
      </c>
      <c r="I831" s="19">
        <v>120000</v>
      </c>
      <c r="J831" s="20" t="s">
        <v>33</v>
      </c>
      <c r="K831" s="13">
        <v>41</v>
      </c>
      <c r="L831" s="18" t="s">
        <v>41</v>
      </c>
      <c r="M831" s="18" t="s">
        <v>39</v>
      </c>
      <c r="N831" s="16" t="s">
        <v>42</v>
      </c>
      <c r="O831" t="str">
        <f>IF(TRIM(J831)="","NULL",IFERROR(VLOOKUP(TRIM(J831),Lookup_PropertyType!$A:$B,2,FALSE()),"other"))</f>
        <v>apartment</v>
      </c>
      <c r="P831">
        <f t="shared" si="12"/>
        <v>1</v>
      </c>
    </row>
    <row r="832" spans="1:16" ht="15.75" customHeight="1" x14ac:dyDescent="0.35">
      <c r="A832" s="13">
        <v>831</v>
      </c>
      <c r="B832" s="14">
        <v>45955</v>
      </c>
      <c r="C832" s="15"/>
      <c r="D832" s="18" t="s">
        <v>58</v>
      </c>
      <c r="E832" s="17">
        <v>10000</v>
      </c>
      <c r="F832" s="13">
        <v>180</v>
      </c>
      <c r="G832" s="13">
        <v>396</v>
      </c>
      <c r="H832" s="19">
        <v>250000</v>
      </c>
      <c r="I832" s="19">
        <v>30000</v>
      </c>
      <c r="J832" s="20" t="s">
        <v>33</v>
      </c>
      <c r="K832" s="13">
        <v>49</v>
      </c>
      <c r="L832" s="18" t="s">
        <v>38</v>
      </c>
      <c r="M832" s="21" t="s">
        <v>54</v>
      </c>
      <c r="N832" s="16" t="s">
        <v>40</v>
      </c>
      <c r="O832" t="str">
        <f>IF(TRIM(J832)="","NULL",IFERROR(VLOOKUP(TRIM(J832),Lookup_PropertyType!$A:$B,2,FALSE()),"other"))</f>
        <v>apartment</v>
      </c>
      <c r="P832">
        <f t="shared" si="12"/>
        <v>0</v>
      </c>
    </row>
    <row r="833" spans="1:16" ht="15.75" customHeight="1" x14ac:dyDescent="0.35">
      <c r="A833" s="13">
        <v>832</v>
      </c>
      <c r="B833" s="14">
        <v>45932</v>
      </c>
      <c r="C833" s="15"/>
      <c r="D833" s="18" t="s">
        <v>58</v>
      </c>
      <c r="E833" s="17">
        <v>17000</v>
      </c>
      <c r="F833" s="13">
        <v>180</v>
      </c>
      <c r="G833" s="13">
        <v>626</v>
      </c>
      <c r="H833" s="19">
        <v>470000</v>
      </c>
      <c r="I833" s="19">
        <v>180000</v>
      </c>
      <c r="J833" s="20" t="s">
        <v>33</v>
      </c>
      <c r="K833" s="13">
        <v>35</v>
      </c>
      <c r="L833" s="18" t="s">
        <v>59</v>
      </c>
      <c r="M833" s="21" t="s">
        <v>39</v>
      </c>
      <c r="N833" s="16" t="s">
        <v>42</v>
      </c>
      <c r="O833" t="str">
        <f>IF(TRIM(J833)="","NULL",IFERROR(VLOOKUP(TRIM(J833),Lookup_PropertyType!$A:$B,2,FALSE()),"other"))</f>
        <v>apartment</v>
      </c>
      <c r="P833">
        <f t="shared" si="12"/>
        <v>0</v>
      </c>
    </row>
    <row r="834" spans="1:16" ht="15.75" customHeight="1" x14ac:dyDescent="0.35">
      <c r="A834" s="13">
        <v>833</v>
      </c>
      <c r="B834" s="14">
        <v>45919</v>
      </c>
      <c r="C834" s="15"/>
      <c r="D834" s="18" t="s">
        <v>32</v>
      </c>
      <c r="E834" s="17">
        <v>20000</v>
      </c>
      <c r="F834" s="13">
        <v>180</v>
      </c>
      <c r="G834" s="13">
        <v>939</v>
      </c>
      <c r="H834" s="19">
        <v>1000000</v>
      </c>
      <c r="I834" s="19">
        <v>36000</v>
      </c>
      <c r="J834" s="20" t="s">
        <v>37</v>
      </c>
      <c r="K834" s="13">
        <v>42</v>
      </c>
      <c r="L834" s="18" t="s">
        <v>59</v>
      </c>
      <c r="M834" s="18" t="s">
        <v>35</v>
      </c>
      <c r="N834" s="16" t="s">
        <v>50</v>
      </c>
      <c r="O834" t="str">
        <f>IF(TRIM(J834)="","NULL",IFERROR(VLOOKUP(TRIM(J834),Lookup_PropertyType!$A:$B,2,FALSE()),"other"))</f>
        <v>house</v>
      </c>
      <c r="P834">
        <f t="shared" ref="P834:P897" si="13">IF(AND(C834&lt;&gt;"",C834&gt;=B834),1,0)</f>
        <v>0</v>
      </c>
    </row>
    <row r="835" spans="1:16" ht="15.75" customHeight="1" x14ac:dyDescent="0.35">
      <c r="A835" s="13">
        <v>834</v>
      </c>
      <c r="B835" s="14">
        <v>45922</v>
      </c>
      <c r="C835" s="15"/>
      <c r="D835" s="18" t="s">
        <v>32</v>
      </c>
      <c r="E835" s="17">
        <v>8500</v>
      </c>
      <c r="F835" s="13">
        <v>120</v>
      </c>
      <c r="G835" s="13">
        <v>863</v>
      </c>
      <c r="H835" s="19">
        <v>280000</v>
      </c>
      <c r="I835" s="19">
        <v>70000</v>
      </c>
      <c r="J835" s="20" t="s">
        <v>47</v>
      </c>
      <c r="K835" s="13">
        <v>47</v>
      </c>
      <c r="L835" s="18" t="s">
        <v>34</v>
      </c>
      <c r="M835" s="21" t="s">
        <v>39</v>
      </c>
      <c r="N835" s="16" t="s">
        <v>50</v>
      </c>
      <c r="O835" t="str">
        <f>IF(TRIM(J835)="","NULL",IFERROR(VLOOKUP(TRIM(J835),Lookup_PropertyType!$A:$B,2,FALSE()),"other"))</f>
        <v>other</v>
      </c>
      <c r="P835">
        <f t="shared" si="13"/>
        <v>0</v>
      </c>
    </row>
    <row r="836" spans="1:16" ht="15.75" customHeight="1" x14ac:dyDescent="0.35">
      <c r="A836" s="13">
        <v>835</v>
      </c>
      <c r="B836" s="14">
        <v>46095</v>
      </c>
      <c r="C836" s="15"/>
      <c r="D836" s="18" t="s">
        <v>32</v>
      </c>
      <c r="E836" s="17">
        <v>5000</v>
      </c>
      <c r="F836" s="13">
        <v>120</v>
      </c>
      <c r="G836" s="13">
        <v>951</v>
      </c>
      <c r="H836" s="19">
        <v>250000</v>
      </c>
      <c r="I836" s="19">
        <v>30000</v>
      </c>
      <c r="J836" s="20" t="s">
        <v>37</v>
      </c>
      <c r="K836" s="13">
        <v>35</v>
      </c>
      <c r="L836" s="18" t="s">
        <v>38</v>
      </c>
      <c r="M836" s="21" t="s">
        <v>39</v>
      </c>
      <c r="N836" s="16" t="s">
        <v>42</v>
      </c>
      <c r="O836" t="str">
        <f>IF(TRIM(J836)="","NULL",IFERROR(VLOOKUP(TRIM(J836),Lookup_PropertyType!$A:$B,2,FALSE()),"other"))</f>
        <v>house</v>
      </c>
      <c r="P836">
        <f t="shared" si="13"/>
        <v>0</v>
      </c>
    </row>
    <row r="837" spans="1:16" ht="15.75" customHeight="1" x14ac:dyDescent="0.35">
      <c r="A837" s="13">
        <v>836</v>
      </c>
      <c r="B837" s="14">
        <v>45929</v>
      </c>
      <c r="C837" s="15"/>
      <c r="D837" s="18" t="s">
        <v>32</v>
      </c>
      <c r="E837" s="17">
        <v>50000</v>
      </c>
      <c r="F837" s="13">
        <v>180</v>
      </c>
      <c r="G837" s="13">
        <v>325</v>
      </c>
      <c r="H837" s="19">
        <v>1760000</v>
      </c>
      <c r="I837" s="19">
        <v>400000</v>
      </c>
      <c r="J837" s="20" t="s">
        <v>37</v>
      </c>
      <c r="K837" s="13">
        <v>55</v>
      </c>
      <c r="L837" s="18" t="s">
        <v>45</v>
      </c>
      <c r="M837" s="21" t="s">
        <v>39</v>
      </c>
      <c r="N837" s="16" t="s">
        <v>51</v>
      </c>
      <c r="O837" t="str">
        <f>IF(TRIM(J837)="","NULL",IFERROR(VLOOKUP(TRIM(J837),Lookup_PropertyType!$A:$B,2,FALSE()),"other"))</f>
        <v>house</v>
      </c>
      <c r="P837">
        <f t="shared" si="13"/>
        <v>0</v>
      </c>
    </row>
    <row r="838" spans="1:16" ht="15.75" customHeight="1" x14ac:dyDescent="0.35">
      <c r="A838" s="13">
        <v>837</v>
      </c>
      <c r="B838" s="14">
        <v>45929</v>
      </c>
      <c r="C838" s="15"/>
      <c r="D838" s="18" t="s">
        <v>32</v>
      </c>
      <c r="E838" s="17">
        <v>17000</v>
      </c>
      <c r="F838" s="13">
        <v>150</v>
      </c>
      <c r="G838" s="13">
        <v>298</v>
      </c>
      <c r="H838" s="19">
        <v>650000</v>
      </c>
      <c r="I838" s="19">
        <v>250000</v>
      </c>
      <c r="J838" s="20" t="s">
        <v>60</v>
      </c>
      <c r="K838" s="13">
        <v>69</v>
      </c>
      <c r="L838" s="18" t="s">
        <v>38</v>
      </c>
      <c r="M838" s="21" t="s">
        <v>39</v>
      </c>
      <c r="N838" s="16" t="s">
        <v>50</v>
      </c>
      <c r="O838" t="str">
        <f>IF(TRIM(J838)="","NULL",IFERROR(VLOOKUP(TRIM(J838),Lookup_PropertyType!$A:$B,2,FALSE()),"other"))</f>
        <v>other</v>
      </c>
      <c r="P838">
        <f t="shared" si="13"/>
        <v>0</v>
      </c>
    </row>
    <row r="839" spans="1:16" ht="15.75" customHeight="1" x14ac:dyDescent="0.35">
      <c r="A839" s="13">
        <v>838</v>
      </c>
      <c r="B839" s="14">
        <v>45929</v>
      </c>
      <c r="C839" s="15"/>
      <c r="D839" s="18" t="s">
        <v>55</v>
      </c>
      <c r="E839" s="17">
        <v>25000</v>
      </c>
      <c r="F839" s="13">
        <v>180</v>
      </c>
      <c r="G839" s="13">
        <v>387</v>
      </c>
      <c r="H839" s="19">
        <v>600000</v>
      </c>
      <c r="I839" s="19">
        <v>150000</v>
      </c>
      <c r="J839" s="20" t="s">
        <v>33</v>
      </c>
      <c r="K839" s="13">
        <v>50</v>
      </c>
      <c r="L839" s="18" t="s">
        <v>38</v>
      </c>
      <c r="M839" s="21" t="s">
        <v>35</v>
      </c>
      <c r="N839" s="16" t="s">
        <v>42</v>
      </c>
      <c r="O839" t="str">
        <f>IF(TRIM(J839)="","NULL",IFERROR(VLOOKUP(TRIM(J839),Lookup_PropertyType!$A:$B,2,FALSE()),"other"))</f>
        <v>apartment</v>
      </c>
      <c r="P839">
        <f t="shared" si="13"/>
        <v>0</v>
      </c>
    </row>
    <row r="840" spans="1:16" ht="15.75" customHeight="1" x14ac:dyDescent="0.35">
      <c r="A840" s="13">
        <v>839</v>
      </c>
      <c r="B840" s="14">
        <v>45934</v>
      </c>
      <c r="C840" s="15"/>
      <c r="D840" s="18" t="s">
        <v>32</v>
      </c>
      <c r="E840" s="17">
        <v>6000</v>
      </c>
      <c r="F840" s="13">
        <v>180</v>
      </c>
      <c r="G840" s="13">
        <v>662</v>
      </c>
      <c r="H840" s="19">
        <v>160000</v>
      </c>
      <c r="I840" s="19">
        <v>60000</v>
      </c>
      <c r="J840" s="20" t="s">
        <v>37</v>
      </c>
      <c r="K840" s="13">
        <v>43</v>
      </c>
      <c r="L840" s="18" t="s">
        <v>38</v>
      </c>
      <c r="M840" s="21" t="s">
        <v>39</v>
      </c>
      <c r="N840" s="16" t="s">
        <v>42</v>
      </c>
      <c r="O840" t="str">
        <f>IF(TRIM(J840)="","NULL",IFERROR(VLOOKUP(TRIM(J840),Lookup_PropertyType!$A:$B,2,FALSE()),"other"))</f>
        <v>house</v>
      </c>
      <c r="P840">
        <f t="shared" si="13"/>
        <v>0</v>
      </c>
    </row>
    <row r="841" spans="1:16" ht="15.75" customHeight="1" x14ac:dyDescent="0.35">
      <c r="A841" s="13">
        <v>840</v>
      </c>
      <c r="B841" s="14">
        <v>45925</v>
      </c>
      <c r="C841" s="15"/>
      <c r="D841" s="18" t="s">
        <v>32</v>
      </c>
      <c r="E841" s="17">
        <v>15000</v>
      </c>
      <c r="F841" s="13">
        <v>180</v>
      </c>
      <c r="G841" s="13">
        <v>474</v>
      </c>
      <c r="H841" s="19">
        <v>400000</v>
      </c>
      <c r="I841" s="19">
        <v>100000</v>
      </c>
      <c r="J841" s="20" t="s">
        <v>33</v>
      </c>
      <c r="K841" s="13">
        <v>40</v>
      </c>
      <c r="L841" s="18" t="s">
        <v>38</v>
      </c>
      <c r="M841" s="18" t="s">
        <v>72</v>
      </c>
      <c r="N841" s="16" t="s">
        <v>42</v>
      </c>
      <c r="O841" t="str">
        <f>IF(TRIM(J841)="","NULL",IFERROR(VLOOKUP(TRIM(J841),Lookup_PropertyType!$A:$B,2,FALSE()),"other"))</f>
        <v>apartment</v>
      </c>
      <c r="P841">
        <f t="shared" si="13"/>
        <v>0</v>
      </c>
    </row>
    <row r="842" spans="1:16" ht="15.75" customHeight="1" x14ac:dyDescent="0.35">
      <c r="A842" s="13">
        <v>841</v>
      </c>
      <c r="B842" s="14">
        <v>45933</v>
      </c>
      <c r="C842" s="15"/>
      <c r="D842" s="18" t="s">
        <v>32</v>
      </c>
      <c r="E842" s="17">
        <v>11000</v>
      </c>
      <c r="F842" s="13">
        <v>180</v>
      </c>
      <c r="G842" s="13">
        <v>952</v>
      </c>
      <c r="H842" s="19">
        <v>480000</v>
      </c>
      <c r="I842" s="19">
        <v>127000</v>
      </c>
      <c r="J842" s="20" t="s">
        <v>37</v>
      </c>
      <c r="K842" s="13">
        <v>43</v>
      </c>
      <c r="L842" s="18" t="s">
        <v>64</v>
      </c>
      <c r="M842" s="21" t="s">
        <v>54</v>
      </c>
      <c r="N842" s="16" t="s">
        <v>36</v>
      </c>
      <c r="O842" t="str">
        <f>IF(TRIM(J842)="","NULL",IFERROR(VLOOKUP(TRIM(J842),Lookup_PropertyType!$A:$B,2,FALSE()),"other"))</f>
        <v>house</v>
      </c>
      <c r="P842">
        <f t="shared" si="13"/>
        <v>0</v>
      </c>
    </row>
    <row r="843" spans="1:16" ht="15.75" customHeight="1" x14ac:dyDescent="0.35">
      <c r="A843" s="13">
        <v>842</v>
      </c>
      <c r="B843" s="14">
        <v>45929</v>
      </c>
      <c r="C843" s="15"/>
      <c r="D843" s="18" t="s">
        <v>83</v>
      </c>
      <c r="E843" s="17">
        <v>20000</v>
      </c>
      <c r="F843" s="13">
        <v>120</v>
      </c>
      <c r="G843" s="13">
        <v>337</v>
      </c>
      <c r="H843" s="19">
        <v>800000</v>
      </c>
      <c r="I843" s="19">
        <v>30000</v>
      </c>
      <c r="J843" s="20" t="s">
        <v>37</v>
      </c>
      <c r="K843" s="13">
        <v>53</v>
      </c>
      <c r="L843" s="18" t="s">
        <v>45</v>
      </c>
      <c r="M843" s="18" t="s">
        <v>72</v>
      </c>
      <c r="N843" s="16" t="s">
        <v>40</v>
      </c>
      <c r="O843" t="str">
        <f>IF(TRIM(J843)="","NULL",IFERROR(VLOOKUP(TRIM(J843),Lookup_PropertyType!$A:$B,2,FALSE()),"other"))</f>
        <v>house</v>
      </c>
      <c r="P843">
        <f t="shared" si="13"/>
        <v>0</v>
      </c>
    </row>
    <row r="844" spans="1:16" ht="15.75" customHeight="1" x14ac:dyDescent="0.35">
      <c r="A844" s="13">
        <v>843</v>
      </c>
      <c r="B844" s="14">
        <v>45925</v>
      </c>
      <c r="C844" s="14">
        <v>45961</v>
      </c>
      <c r="D844" s="18" t="s">
        <v>32</v>
      </c>
      <c r="E844" s="17">
        <v>20000</v>
      </c>
      <c r="F844" s="13">
        <v>120</v>
      </c>
      <c r="G844" s="13">
        <v>762</v>
      </c>
      <c r="H844" s="19">
        <v>900000</v>
      </c>
      <c r="I844" s="19">
        <v>200000</v>
      </c>
      <c r="J844" s="20" t="s">
        <v>33</v>
      </c>
      <c r="K844" s="13">
        <v>46</v>
      </c>
      <c r="L844" s="18" t="s">
        <v>59</v>
      </c>
      <c r="M844" s="21" t="s">
        <v>39</v>
      </c>
      <c r="N844" s="16" t="s">
        <v>40</v>
      </c>
      <c r="O844" t="str">
        <f>IF(TRIM(J844)="","NULL",IFERROR(VLOOKUP(TRIM(J844),Lookup_PropertyType!$A:$B,2,FALSE()),"other"))</f>
        <v>apartment</v>
      </c>
      <c r="P844">
        <f t="shared" si="13"/>
        <v>1</v>
      </c>
    </row>
    <row r="845" spans="1:16" ht="15.75" customHeight="1" x14ac:dyDescent="0.35">
      <c r="A845" s="13">
        <v>844</v>
      </c>
      <c r="B845" s="14">
        <v>45978</v>
      </c>
      <c r="C845" s="15"/>
      <c r="D845" s="18" t="s">
        <v>32</v>
      </c>
      <c r="E845" s="17">
        <v>12000</v>
      </c>
      <c r="F845" s="13">
        <v>180</v>
      </c>
      <c r="G845" s="13">
        <v>893</v>
      </c>
      <c r="H845" s="19">
        <v>350000</v>
      </c>
      <c r="I845" s="19">
        <v>120000</v>
      </c>
      <c r="J845" s="20" t="s">
        <v>37</v>
      </c>
      <c r="K845" s="13">
        <v>68</v>
      </c>
      <c r="L845" s="18" t="s">
        <v>59</v>
      </c>
      <c r="M845" s="21" t="s">
        <v>39</v>
      </c>
      <c r="N845" s="16" t="s">
        <v>43</v>
      </c>
      <c r="O845" t="str">
        <f>IF(TRIM(J845)="","NULL",IFERROR(VLOOKUP(TRIM(J845),Lookup_PropertyType!$A:$B,2,FALSE()),"other"))</f>
        <v>house</v>
      </c>
      <c r="P845">
        <f t="shared" si="13"/>
        <v>0</v>
      </c>
    </row>
    <row r="846" spans="1:16" ht="15.75" customHeight="1" x14ac:dyDescent="0.35">
      <c r="A846" s="13">
        <v>845</v>
      </c>
      <c r="B846" s="14">
        <v>45926</v>
      </c>
      <c r="C846" s="15"/>
      <c r="D846" s="18" t="s">
        <v>44</v>
      </c>
      <c r="E846" s="17">
        <v>4937</v>
      </c>
      <c r="F846" s="13">
        <v>180</v>
      </c>
      <c r="G846" s="13">
        <v>738</v>
      </c>
      <c r="H846" s="19">
        <v>200000</v>
      </c>
      <c r="I846" s="19">
        <v>50000</v>
      </c>
      <c r="J846" s="20" t="s">
        <v>37</v>
      </c>
      <c r="K846" s="13">
        <v>43</v>
      </c>
      <c r="L846" s="18" t="s">
        <v>59</v>
      </c>
      <c r="M846" s="21" t="s">
        <v>39</v>
      </c>
      <c r="N846" s="16" t="s">
        <v>42</v>
      </c>
      <c r="O846" t="str">
        <f>IF(TRIM(J846)="","NULL",IFERROR(VLOOKUP(TRIM(J846),Lookup_PropertyType!$A:$B,2,FALSE()),"other"))</f>
        <v>house</v>
      </c>
      <c r="P846">
        <f t="shared" si="13"/>
        <v>0</v>
      </c>
    </row>
    <row r="847" spans="1:16" ht="15.75" customHeight="1" x14ac:dyDescent="0.35">
      <c r="A847" s="13">
        <v>846</v>
      </c>
      <c r="B847" s="14">
        <v>45927</v>
      </c>
      <c r="C847" s="15"/>
      <c r="D847" s="18" t="s">
        <v>32</v>
      </c>
      <c r="E847" s="17">
        <v>40000</v>
      </c>
      <c r="F847" s="13">
        <v>180</v>
      </c>
      <c r="G847" s="13">
        <v>432</v>
      </c>
      <c r="H847" s="19">
        <v>1500000</v>
      </c>
      <c r="I847" s="19">
        <v>480000</v>
      </c>
      <c r="J847" s="20" t="s">
        <v>33</v>
      </c>
      <c r="K847" s="13">
        <v>44</v>
      </c>
      <c r="L847" s="18" t="s">
        <v>38</v>
      </c>
      <c r="M847" s="21" t="s">
        <v>39</v>
      </c>
      <c r="N847" s="16" t="s">
        <v>36</v>
      </c>
      <c r="O847" t="str">
        <f>IF(TRIM(J847)="","NULL",IFERROR(VLOOKUP(TRIM(J847),Lookup_PropertyType!$A:$B,2,FALSE()),"other"))</f>
        <v>apartment</v>
      </c>
      <c r="P847">
        <f t="shared" si="13"/>
        <v>0</v>
      </c>
    </row>
    <row r="848" spans="1:16" ht="15.75" customHeight="1" x14ac:dyDescent="0.35">
      <c r="A848" s="13">
        <v>847</v>
      </c>
      <c r="B848" s="14">
        <v>45926</v>
      </c>
      <c r="C848" s="14">
        <v>46017</v>
      </c>
      <c r="D848" s="18" t="s">
        <v>32</v>
      </c>
      <c r="E848" s="17">
        <v>30000</v>
      </c>
      <c r="F848" s="13">
        <v>150</v>
      </c>
      <c r="G848" s="13">
        <v>333</v>
      </c>
      <c r="H848" s="19">
        <v>1500000</v>
      </c>
      <c r="I848" s="19">
        <v>305000</v>
      </c>
      <c r="J848" s="20" t="s">
        <v>37</v>
      </c>
      <c r="K848" s="13">
        <v>50</v>
      </c>
      <c r="L848" s="18" t="s">
        <v>41</v>
      </c>
      <c r="M848" s="18" t="s">
        <v>35</v>
      </c>
      <c r="N848" s="16" t="s">
        <v>36</v>
      </c>
      <c r="O848" t="str">
        <f>IF(TRIM(J848)="","NULL",IFERROR(VLOOKUP(TRIM(J848),Lookup_PropertyType!$A:$B,2,FALSE()),"other"))</f>
        <v>house</v>
      </c>
      <c r="P848">
        <f t="shared" si="13"/>
        <v>1</v>
      </c>
    </row>
    <row r="849" spans="1:16" ht="15.75" customHeight="1" x14ac:dyDescent="0.35">
      <c r="A849" s="13">
        <v>848</v>
      </c>
      <c r="B849" s="14">
        <v>46041</v>
      </c>
      <c r="C849" s="15"/>
      <c r="D849" s="18" t="s">
        <v>44</v>
      </c>
      <c r="E849" s="17">
        <v>13000</v>
      </c>
      <c r="F849" s="13">
        <v>180</v>
      </c>
      <c r="G849" s="13">
        <v>372</v>
      </c>
      <c r="H849" s="19">
        <v>300000</v>
      </c>
      <c r="I849" s="19">
        <v>110000</v>
      </c>
      <c r="J849" s="20" t="s">
        <v>37</v>
      </c>
      <c r="K849" s="13">
        <v>45</v>
      </c>
      <c r="L849" s="18" t="s">
        <v>34</v>
      </c>
      <c r="M849" s="18" t="s">
        <v>39</v>
      </c>
      <c r="N849" s="16" t="s">
        <v>48</v>
      </c>
      <c r="O849" t="str">
        <f>IF(TRIM(J849)="","NULL",IFERROR(VLOOKUP(TRIM(J849),Lookup_PropertyType!$A:$B,2,FALSE()),"other"))</f>
        <v>house</v>
      </c>
      <c r="P849">
        <f t="shared" si="13"/>
        <v>0</v>
      </c>
    </row>
    <row r="850" spans="1:16" ht="15.75" customHeight="1" x14ac:dyDescent="0.35">
      <c r="A850" s="13">
        <v>849</v>
      </c>
      <c r="B850" s="14">
        <v>45935</v>
      </c>
      <c r="C850" s="15"/>
      <c r="D850" s="18" t="s">
        <v>32</v>
      </c>
      <c r="E850" s="17">
        <v>18000</v>
      </c>
      <c r="F850" s="13">
        <v>90</v>
      </c>
      <c r="G850" s="13">
        <v>779</v>
      </c>
      <c r="H850" s="19">
        <v>400000</v>
      </c>
      <c r="I850" s="19">
        <v>100000</v>
      </c>
      <c r="J850" s="20" t="s">
        <v>33</v>
      </c>
      <c r="K850" s="13">
        <v>48</v>
      </c>
      <c r="L850" s="18" t="s">
        <v>38</v>
      </c>
      <c r="M850" s="21" t="s">
        <v>39</v>
      </c>
      <c r="N850" s="16" t="s">
        <v>42</v>
      </c>
      <c r="O850" t="str">
        <f>IF(TRIM(J850)="","NULL",IFERROR(VLOOKUP(TRIM(J850),Lookup_PropertyType!$A:$B,2,FALSE()),"other"))</f>
        <v>apartment</v>
      </c>
      <c r="P850">
        <f t="shared" si="13"/>
        <v>0</v>
      </c>
    </row>
    <row r="851" spans="1:16" ht="15.75" customHeight="1" x14ac:dyDescent="0.35">
      <c r="A851" s="13">
        <v>850</v>
      </c>
      <c r="B851" s="14">
        <v>45950</v>
      </c>
      <c r="C851" s="15"/>
      <c r="D851" s="18" t="s">
        <v>32</v>
      </c>
      <c r="E851" s="17">
        <v>10000</v>
      </c>
      <c r="F851" s="13">
        <v>90</v>
      </c>
      <c r="G851" s="13">
        <v>819</v>
      </c>
      <c r="H851" s="19">
        <v>340000</v>
      </c>
      <c r="I851" s="19">
        <v>80000</v>
      </c>
      <c r="J851" s="20" t="s">
        <v>37</v>
      </c>
      <c r="K851" s="13">
        <v>35</v>
      </c>
      <c r="L851" s="18" t="s">
        <v>64</v>
      </c>
      <c r="M851" s="21" t="s">
        <v>39</v>
      </c>
      <c r="N851" s="18" t="s">
        <v>42</v>
      </c>
      <c r="O851" t="str">
        <f>IF(TRIM(J851)="","NULL",IFERROR(VLOOKUP(TRIM(J851),Lookup_PropertyType!$A:$B,2,FALSE()),"other"))</f>
        <v>house</v>
      </c>
      <c r="P851">
        <f t="shared" si="13"/>
        <v>0</v>
      </c>
    </row>
    <row r="852" spans="1:16" ht="15.75" customHeight="1" x14ac:dyDescent="0.35">
      <c r="A852" s="13">
        <v>851</v>
      </c>
      <c r="B852" s="14">
        <v>45932</v>
      </c>
      <c r="C852" s="15"/>
      <c r="D852" s="18" t="s">
        <v>32</v>
      </c>
      <c r="E852" s="17">
        <v>3000</v>
      </c>
      <c r="F852" s="13">
        <v>90</v>
      </c>
      <c r="G852" s="13">
        <v>704</v>
      </c>
      <c r="H852" s="19">
        <v>180000</v>
      </c>
      <c r="I852" s="19">
        <v>30000</v>
      </c>
      <c r="J852" s="20" t="s">
        <v>33</v>
      </c>
      <c r="K852" s="13">
        <v>40</v>
      </c>
      <c r="L852" s="18" t="s">
        <v>59</v>
      </c>
      <c r="M852" s="21" t="s">
        <v>54</v>
      </c>
      <c r="N852" s="18" t="s">
        <v>42</v>
      </c>
      <c r="O852" t="str">
        <f>IF(TRIM(J852)="","NULL",IFERROR(VLOOKUP(TRIM(J852),Lookup_PropertyType!$A:$B,2,FALSE()),"other"))</f>
        <v>apartment</v>
      </c>
      <c r="P852">
        <f t="shared" si="13"/>
        <v>0</v>
      </c>
    </row>
    <row r="853" spans="1:16" ht="15.75" customHeight="1" x14ac:dyDescent="0.35">
      <c r="A853" s="13">
        <v>852</v>
      </c>
      <c r="B853" s="14">
        <v>45932</v>
      </c>
      <c r="C853" s="15"/>
      <c r="D853" s="18" t="s">
        <v>44</v>
      </c>
      <c r="E853" s="17">
        <v>17800</v>
      </c>
      <c r="F853" s="13">
        <v>180</v>
      </c>
      <c r="G853" s="13">
        <v>373</v>
      </c>
      <c r="H853" s="19">
        <v>450000</v>
      </c>
      <c r="I853" s="19">
        <v>200000</v>
      </c>
      <c r="J853" s="20" t="s">
        <v>37</v>
      </c>
      <c r="K853" s="13">
        <v>51</v>
      </c>
      <c r="L853" s="18" t="s">
        <v>34</v>
      </c>
      <c r="M853" s="21" t="s">
        <v>39</v>
      </c>
      <c r="N853" s="16" t="s">
        <v>50</v>
      </c>
      <c r="O853" t="str">
        <f>IF(TRIM(J853)="","NULL",IFERROR(VLOOKUP(TRIM(J853),Lookup_PropertyType!$A:$B,2,FALSE()),"other"))</f>
        <v>house</v>
      </c>
      <c r="P853">
        <f t="shared" si="13"/>
        <v>0</v>
      </c>
    </row>
    <row r="854" spans="1:16" ht="15.75" customHeight="1" x14ac:dyDescent="0.35">
      <c r="A854" s="13">
        <v>853</v>
      </c>
      <c r="B854" s="14">
        <v>45962</v>
      </c>
      <c r="C854" s="15"/>
      <c r="D854" s="18" t="s">
        <v>55</v>
      </c>
      <c r="E854" s="17">
        <v>3500</v>
      </c>
      <c r="F854" s="13">
        <v>180</v>
      </c>
      <c r="G854" s="13">
        <v>325</v>
      </c>
      <c r="H854" s="19">
        <v>250000</v>
      </c>
      <c r="I854" s="19">
        <v>60000</v>
      </c>
      <c r="J854" s="20" t="s">
        <v>33</v>
      </c>
      <c r="K854" s="13">
        <v>65</v>
      </c>
      <c r="L854" s="18" t="s">
        <v>38</v>
      </c>
      <c r="M854" s="21" t="s">
        <v>39</v>
      </c>
      <c r="N854" s="18" t="s">
        <v>43</v>
      </c>
      <c r="O854" t="str">
        <f>IF(TRIM(J854)="","NULL",IFERROR(VLOOKUP(TRIM(J854),Lookup_PropertyType!$A:$B,2,FALSE()),"other"))</f>
        <v>apartment</v>
      </c>
      <c r="P854">
        <f t="shared" si="13"/>
        <v>0</v>
      </c>
    </row>
    <row r="855" spans="1:16" ht="15.75" customHeight="1" x14ac:dyDescent="0.35">
      <c r="A855" s="13">
        <v>854</v>
      </c>
      <c r="B855" s="14">
        <v>45929</v>
      </c>
      <c r="C855" s="14">
        <v>46010</v>
      </c>
      <c r="D855" s="18" t="s">
        <v>55</v>
      </c>
      <c r="E855" s="17">
        <v>16000</v>
      </c>
      <c r="F855" s="13">
        <v>180</v>
      </c>
      <c r="G855" s="13">
        <v>256</v>
      </c>
      <c r="H855" s="19">
        <v>250000</v>
      </c>
      <c r="I855" s="19">
        <v>60000</v>
      </c>
      <c r="J855" s="20" t="s">
        <v>33</v>
      </c>
      <c r="K855" s="13">
        <v>52</v>
      </c>
      <c r="L855" s="18" t="s">
        <v>34</v>
      </c>
      <c r="M855" s="18" t="s">
        <v>39</v>
      </c>
      <c r="N855" s="18" t="s">
        <v>42</v>
      </c>
      <c r="O855" t="str">
        <f>IF(TRIM(J855)="","NULL",IFERROR(VLOOKUP(TRIM(J855),Lookup_PropertyType!$A:$B,2,FALSE()),"other"))</f>
        <v>apartment</v>
      </c>
      <c r="P855">
        <f t="shared" si="13"/>
        <v>1</v>
      </c>
    </row>
    <row r="856" spans="1:16" ht="15.75" customHeight="1" x14ac:dyDescent="0.35">
      <c r="A856" s="13">
        <v>855</v>
      </c>
      <c r="B856" s="14">
        <v>45955</v>
      </c>
      <c r="C856" s="15"/>
      <c r="D856" s="18" t="s">
        <v>32</v>
      </c>
      <c r="E856" s="17">
        <v>11000</v>
      </c>
      <c r="F856" s="13">
        <v>180</v>
      </c>
      <c r="G856" s="13">
        <v>952</v>
      </c>
      <c r="H856" s="19">
        <v>500000</v>
      </c>
      <c r="I856" s="19">
        <v>80000</v>
      </c>
      <c r="J856" s="20" t="s">
        <v>37</v>
      </c>
      <c r="K856" s="13">
        <v>35</v>
      </c>
      <c r="L856" s="18" t="s">
        <v>38</v>
      </c>
      <c r="M856" s="21" t="s">
        <v>39</v>
      </c>
      <c r="N856" s="18" t="s">
        <v>42</v>
      </c>
      <c r="O856" t="str">
        <f>IF(TRIM(J856)="","NULL",IFERROR(VLOOKUP(TRIM(J856),Lookup_PropertyType!$A:$B,2,FALSE()),"other"))</f>
        <v>house</v>
      </c>
      <c r="P856">
        <f t="shared" si="13"/>
        <v>0</v>
      </c>
    </row>
    <row r="857" spans="1:16" ht="15.75" customHeight="1" x14ac:dyDescent="0.35">
      <c r="A857" s="13">
        <v>856</v>
      </c>
      <c r="B857" s="14">
        <v>45939</v>
      </c>
      <c r="C857" s="15"/>
      <c r="D857" s="18" t="s">
        <v>57</v>
      </c>
      <c r="E857" s="17">
        <v>12000</v>
      </c>
      <c r="F857" s="13">
        <v>180</v>
      </c>
      <c r="G857" s="13">
        <v>590</v>
      </c>
      <c r="H857" s="19">
        <v>380000</v>
      </c>
      <c r="I857" s="19">
        <v>200000</v>
      </c>
      <c r="J857" s="20" t="s">
        <v>37</v>
      </c>
      <c r="K857" s="13">
        <v>47</v>
      </c>
      <c r="L857" s="18" t="s">
        <v>38</v>
      </c>
      <c r="M857" s="21" t="s">
        <v>39</v>
      </c>
      <c r="N857" s="16" t="s">
        <v>50</v>
      </c>
      <c r="O857" t="str">
        <f>IF(TRIM(J857)="","NULL",IFERROR(VLOOKUP(TRIM(J857),Lookup_PropertyType!$A:$B,2,FALSE()),"other"))</f>
        <v>house</v>
      </c>
      <c r="P857">
        <f t="shared" si="13"/>
        <v>0</v>
      </c>
    </row>
    <row r="858" spans="1:16" ht="15.75" customHeight="1" x14ac:dyDescent="0.35">
      <c r="A858" s="13">
        <v>857</v>
      </c>
      <c r="B858" s="14">
        <v>45927</v>
      </c>
      <c r="C858" s="15"/>
      <c r="D858" s="18" t="s">
        <v>32</v>
      </c>
      <c r="E858" s="17">
        <v>9700</v>
      </c>
      <c r="F858" s="13">
        <v>180</v>
      </c>
      <c r="G858" s="13">
        <v>847</v>
      </c>
      <c r="H858" s="19">
        <v>500000</v>
      </c>
      <c r="I858" s="19">
        <v>30000</v>
      </c>
      <c r="J858" s="20" t="s">
        <v>37</v>
      </c>
      <c r="K858" s="13">
        <v>50</v>
      </c>
      <c r="L858" s="18" t="s">
        <v>38</v>
      </c>
      <c r="M858" s="21" t="s">
        <v>39</v>
      </c>
      <c r="N858" s="18" t="s">
        <v>42</v>
      </c>
      <c r="O858" t="str">
        <f>IF(TRIM(J858)="","NULL",IFERROR(VLOOKUP(TRIM(J858),Lookup_PropertyType!$A:$B,2,FALSE()),"other"))</f>
        <v>house</v>
      </c>
      <c r="P858">
        <f t="shared" si="13"/>
        <v>0</v>
      </c>
    </row>
    <row r="859" spans="1:16" ht="15.75" customHeight="1" x14ac:dyDescent="0.35">
      <c r="A859" s="13">
        <v>858</v>
      </c>
      <c r="B859" s="14">
        <v>45928</v>
      </c>
      <c r="C859" s="15"/>
      <c r="D859" s="18" t="s">
        <v>32</v>
      </c>
      <c r="E859" s="17">
        <v>10700</v>
      </c>
      <c r="F859" s="13">
        <v>180</v>
      </c>
      <c r="G859" s="13">
        <v>694</v>
      </c>
      <c r="H859" s="19">
        <v>400000</v>
      </c>
      <c r="I859" s="19">
        <v>180000</v>
      </c>
      <c r="J859" s="20" t="s">
        <v>37</v>
      </c>
      <c r="K859" s="13">
        <v>48</v>
      </c>
      <c r="L859" s="18" t="s">
        <v>38</v>
      </c>
      <c r="M859" s="18" t="s">
        <v>35</v>
      </c>
      <c r="N859" s="18" t="s">
        <v>42</v>
      </c>
      <c r="O859" t="str">
        <f>IF(TRIM(J859)="","NULL",IFERROR(VLOOKUP(TRIM(J859),Lookup_PropertyType!$A:$B,2,FALSE()),"other"))</f>
        <v>house</v>
      </c>
      <c r="P859">
        <f t="shared" si="13"/>
        <v>0</v>
      </c>
    </row>
    <row r="860" spans="1:16" ht="15.75" customHeight="1" x14ac:dyDescent="0.35">
      <c r="A860" s="13">
        <v>859</v>
      </c>
      <c r="B860" s="14">
        <v>45928</v>
      </c>
      <c r="C860" s="15"/>
      <c r="D860" s="18" t="s">
        <v>32</v>
      </c>
      <c r="E860" s="17">
        <v>15600</v>
      </c>
      <c r="F860" s="13">
        <v>180</v>
      </c>
      <c r="G860" s="13">
        <v>948</v>
      </c>
      <c r="H860" s="19">
        <v>350000</v>
      </c>
      <c r="I860" s="19">
        <v>150000</v>
      </c>
      <c r="J860" s="20" t="s">
        <v>33</v>
      </c>
      <c r="K860" s="13">
        <v>36</v>
      </c>
      <c r="L860" s="18" t="s">
        <v>38</v>
      </c>
      <c r="M860" s="21" t="s">
        <v>39</v>
      </c>
      <c r="N860" s="18" t="s">
        <v>42</v>
      </c>
      <c r="O860" t="str">
        <f>IF(TRIM(J860)="","NULL",IFERROR(VLOOKUP(TRIM(J860),Lookup_PropertyType!$A:$B,2,FALSE()),"other"))</f>
        <v>apartment</v>
      </c>
      <c r="P860">
        <f t="shared" si="13"/>
        <v>0</v>
      </c>
    </row>
    <row r="861" spans="1:16" ht="15.75" customHeight="1" x14ac:dyDescent="0.35">
      <c r="A861" s="13">
        <v>860</v>
      </c>
      <c r="B861" s="14">
        <v>45934</v>
      </c>
      <c r="C861" s="15"/>
      <c r="D861" s="18" t="s">
        <v>32</v>
      </c>
      <c r="E861" s="17">
        <v>11000</v>
      </c>
      <c r="F861" s="13">
        <v>120</v>
      </c>
      <c r="G861" s="13">
        <v>815</v>
      </c>
      <c r="H861" s="19">
        <v>850000</v>
      </c>
      <c r="I861" s="19">
        <v>30000</v>
      </c>
      <c r="J861" s="20" t="s">
        <v>37</v>
      </c>
      <c r="K861" s="13">
        <v>47</v>
      </c>
      <c r="L861" s="18" t="s">
        <v>45</v>
      </c>
      <c r="M861" s="21" t="s">
        <v>54</v>
      </c>
      <c r="N861" s="18" t="s">
        <v>42</v>
      </c>
      <c r="O861" t="str">
        <f>IF(TRIM(J861)="","NULL",IFERROR(VLOOKUP(TRIM(J861),Lookup_PropertyType!$A:$B,2,FALSE()),"other"))</f>
        <v>house</v>
      </c>
      <c r="P861">
        <f t="shared" si="13"/>
        <v>0</v>
      </c>
    </row>
    <row r="862" spans="1:16" ht="15.75" customHeight="1" x14ac:dyDescent="0.35">
      <c r="A862" s="13">
        <v>861</v>
      </c>
      <c r="B862" s="14">
        <v>45932</v>
      </c>
      <c r="C862" s="14">
        <v>46004</v>
      </c>
      <c r="D862" s="18" t="s">
        <v>58</v>
      </c>
      <c r="E862" s="17">
        <v>9000</v>
      </c>
      <c r="F862" s="13">
        <v>120</v>
      </c>
      <c r="G862" s="13">
        <v>611</v>
      </c>
      <c r="H862" s="19">
        <v>500000</v>
      </c>
      <c r="I862" s="19">
        <v>40000</v>
      </c>
      <c r="J862" s="20" t="s">
        <v>33</v>
      </c>
      <c r="K862" s="13">
        <v>41</v>
      </c>
      <c r="L862" s="18" t="s">
        <v>38</v>
      </c>
      <c r="M862" s="18" t="s">
        <v>72</v>
      </c>
      <c r="N862" s="16" t="s">
        <v>50</v>
      </c>
      <c r="O862" t="str">
        <f>IF(TRIM(J862)="","NULL",IFERROR(VLOOKUP(TRIM(J862),Lookup_PropertyType!$A:$B,2,FALSE()),"other"))</f>
        <v>apartment</v>
      </c>
      <c r="P862">
        <f t="shared" si="13"/>
        <v>1</v>
      </c>
    </row>
    <row r="863" spans="1:16" ht="15.75" customHeight="1" x14ac:dyDescent="0.35">
      <c r="A863" s="13">
        <v>862</v>
      </c>
      <c r="B863" s="14">
        <v>46039</v>
      </c>
      <c r="C863" s="15"/>
      <c r="D863" s="18" t="s">
        <v>32</v>
      </c>
      <c r="E863" s="17">
        <v>15000</v>
      </c>
      <c r="F863" s="13">
        <v>90</v>
      </c>
      <c r="G863" s="13">
        <v>408</v>
      </c>
      <c r="H863" s="19">
        <v>240000</v>
      </c>
      <c r="I863" s="19">
        <v>100000</v>
      </c>
      <c r="J863" s="20" t="s">
        <v>37</v>
      </c>
      <c r="K863" s="13">
        <v>38</v>
      </c>
      <c r="L863" s="18" t="s">
        <v>41</v>
      </c>
      <c r="M863" s="21" t="s">
        <v>39</v>
      </c>
      <c r="N863" s="18" t="s">
        <v>36</v>
      </c>
      <c r="O863" t="str">
        <f>IF(TRIM(J863)="","NULL",IFERROR(VLOOKUP(TRIM(J863),Lookup_PropertyType!$A:$B,2,FALSE()),"other"))</f>
        <v>house</v>
      </c>
      <c r="P863">
        <f t="shared" si="13"/>
        <v>0</v>
      </c>
    </row>
    <row r="864" spans="1:16" ht="15.75" customHeight="1" x14ac:dyDescent="0.35">
      <c r="A864" s="13">
        <v>863</v>
      </c>
      <c r="B864" s="14">
        <v>45955</v>
      </c>
      <c r="C864" s="14">
        <v>46005</v>
      </c>
      <c r="D864" s="18" t="s">
        <v>57</v>
      </c>
      <c r="E864" s="17">
        <v>8000</v>
      </c>
      <c r="F864" s="13">
        <v>180</v>
      </c>
      <c r="G864" s="13">
        <v>377</v>
      </c>
      <c r="H864" s="19">
        <v>400000</v>
      </c>
      <c r="I864" s="19">
        <v>30000</v>
      </c>
      <c r="J864" s="20" t="s">
        <v>33</v>
      </c>
      <c r="K864" s="13">
        <v>56</v>
      </c>
      <c r="L864" s="18" t="s">
        <v>38</v>
      </c>
      <c r="M864" s="21" t="s">
        <v>54</v>
      </c>
      <c r="N864" s="16" t="s">
        <v>50</v>
      </c>
      <c r="O864" t="str">
        <f>IF(TRIM(J864)="","NULL",IFERROR(VLOOKUP(TRIM(J864),Lookup_PropertyType!$A:$B,2,FALSE()),"other"))</f>
        <v>apartment</v>
      </c>
      <c r="P864">
        <f t="shared" si="13"/>
        <v>1</v>
      </c>
    </row>
    <row r="865" spans="1:16" ht="15.75" customHeight="1" x14ac:dyDescent="0.35">
      <c r="A865" s="13">
        <v>864</v>
      </c>
      <c r="B865" s="14">
        <v>45940</v>
      </c>
      <c r="C865" s="15"/>
      <c r="D865" s="18" t="s">
        <v>32</v>
      </c>
      <c r="E865" s="17">
        <v>13000</v>
      </c>
      <c r="F865" s="13">
        <v>180</v>
      </c>
      <c r="G865" s="13">
        <v>863</v>
      </c>
      <c r="H865" s="19">
        <v>360000</v>
      </c>
      <c r="I865" s="19">
        <v>30000</v>
      </c>
      <c r="J865" s="20" t="s">
        <v>37</v>
      </c>
      <c r="K865" s="13">
        <v>63</v>
      </c>
      <c r="L865" s="18" t="s">
        <v>34</v>
      </c>
      <c r="M865" s="21" t="s">
        <v>54</v>
      </c>
      <c r="N865" s="18" t="s">
        <v>42</v>
      </c>
      <c r="O865" t="str">
        <f>IF(TRIM(J865)="","NULL",IFERROR(VLOOKUP(TRIM(J865),Lookup_PropertyType!$A:$B,2,FALSE()),"other"))</f>
        <v>house</v>
      </c>
      <c r="P865">
        <f t="shared" si="13"/>
        <v>0</v>
      </c>
    </row>
    <row r="866" spans="1:16" ht="15.75" customHeight="1" x14ac:dyDescent="0.35">
      <c r="A866" s="13">
        <v>865</v>
      </c>
      <c r="B866" s="14">
        <v>45953</v>
      </c>
      <c r="C866" s="15"/>
      <c r="D866" s="18" t="s">
        <v>44</v>
      </c>
      <c r="E866" s="17">
        <v>20000</v>
      </c>
      <c r="F866" s="13">
        <v>180</v>
      </c>
      <c r="G866" s="13">
        <v>440</v>
      </c>
      <c r="H866" s="19">
        <v>1000000</v>
      </c>
      <c r="I866" s="19">
        <v>158000</v>
      </c>
      <c r="J866" s="20" t="s">
        <v>33</v>
      </c>
      <c r="K866" s="13">
        <v>64</v>
      </c>
      <c r="L866" s="18" t="s">
        <v>38</v>
      </c>
      <c r="M866" s="21" t="s">
        <v>54</v>
      </c>
      <c r="N866" s="18" t="s">
        <v>48</v>
      </c>
      <c r="O866" t="str">
        <f>IF(TRIM(J866)="","NULL",IFERROR(VLOOKUP(TRIM(J866),Lookup_PropertyType!$A:$B,2,FALSE()),"other"))</f>
        <v>apartment</v>
      </c>
      <c r="P866">
        <f t="shared" si="13"/>
        <v>0</v>
      </c>
    </row>
    <row r="867" spans="1:16" ht="15.75" customHeight="1" x14ac:dyDescent="0.35">
      <c r="A867" s="13">
        <v>866</v>
      </c>
      <c r="B867" s="14">
        <v>45935</v>
      </c>
      <c r="C867" s="15"/>
      <c r="D867" s="18" t="s">
        <v>32</v>
      </c>
      <c r="E867" s="17">
        <v>9580</v>
      </c>
      <c r="F867" s="13">
        <v>180</v>
      </c>
      <c r="G867" s="13">
        <v>937</v>
      </c>
      <c r="H867" s="19">
        <v>400000</v>
      </c>
      <c r="I867" s="19">
        <v>100000</v>
      </c>
      <c r="J867" s="20" t="s">
        <v>33</v>
      </c>
      <c r="K867" s="13">
        <v>38</v>
      </c>
      <c r="L867" s="18" t="s">
        <v>59</v>
      </c>
      <c r="M867" s="21" t="s">
        <v>39</v>
      </c>
      <c r="N867" s="18" t="s">
        <v>42</v>
      </c>
      <c r="O867" t="str">
        <f>IF(TRIM(J867)="","NULL",IFERROR(VLOOKUP(TRIM(J867),Lookup_PropertyType!$A:$B,2,FALSE()),"other"))</f>
        <v>apartment</v>
      </c>
      <c r="P867">
        <f t="shared" si="13"/>
        <v>0</v>
      </c>
    </row>
    <row r="868" spans="1:16" ht="15.75" customHeight="1" x14ac:dyDescent="0.35">
      <c r="A868" s="13">
        <v>867</v>
      </c>
      <c r="B868" s="14">
        <v>45936</v>
      </c>
      <c r="C868" s="15"/>
      <c r="D868" s="18" t="s">
        <v>32</v>
      </c>
      <c r="E868" s="17">
        <v>9500</v>
      </c>
      <c r="F868" s="13">
        <v>180</v>
      </c>
      <c r="G868" s="13">
        <v>909</v>
      </c>
      <c r="H868" s="19">
        <v>700000</v>
      </c>
      <c r="I868" s="19">
        <v>160000</v>
      </c>
      <c r="J868" s="20" t="s">
        <v>37</v>
      </c>
      <c r="K868" s="13">
        <v>50</v>
      </c>
      <c r="L868" s="18" t="s">
        <v>38</v>
      </c>
      <c r="M868" s="21" t="s">
        <v>39</v>
      </c>
      <c r="N868" s="18" t="s">
        <v>42</v>
      </c>
      <c r="O868" t="str">
        <f>IF(TRIM(J868)="","NULL",IFERROR(VLOOKUP(TRIM(J868),Lookup_PropertyType!$A:$B,2,FALSE()),"other"))</f>
        <v>house</v>
      </c>
      <c r="P868">
        <f t="shared" si="13"/>
        <v>0</v>
      </c>
    </row>
    <row r="869" spans="1:16" ht="15.75" customHeight="1" x14ac:dyDescent="0.35">
      <c r="A869" s="13">
        <v>868</v>
      </c>
      <c r="B869" s="14">
        <v>45936</v>
      </c>
      <c r="C869" s="15"/>
      <c r="D869" s="18" t="s">
        <v>32</v>
      </c>
      <c r="E869" s="17">
        <v>4500</v>
      </c>
      <c r="F869" s="13">
        <v>180</v>
      </c>
      <c r="G869" s="13">
        <v>425</v>
      </c>
      <c r="H869" s="19">
        <v>173000</v>
      </c>
      <c r="I869" s="19">
        <v>30000</v>
      </c>
      <c r="J869" s="20" t="s">
        <v>37</v>
      </c>
      <c r="K869" s="13">
        <v>37</v>
      </c>
      <c r="L869" s="18" t="s">
        <v>38</v>
      </c>
      <c r="M869" s="21" t="s">
        <v>39</v>
      </c>
      <c r="N869" s="18" t="s">
        <v>51</v>
      </c>
      <c r="O869" t="str">
        <f>IF(TRIM(J869)="","NULL",IFERROR(VLOOKUP(TRIM(J869),Lookup_PropertyType!$A:$B,2,FALSE()),"other"))</f>
        <v>house</v>
      </c>
      <c r="P869">
        <f t="shared" si="13"/>
        <v>0</v>
      </c>
    </row>
    <row r="870" spans="1:16" ht="15.75" customHeight="1" x14ac:dyDescent="0.35">
      <c r="A870" s="13">
        <v>869</v>
      </c>
      <c r="B870" s="14">
        <v>45939</v>
      </c>
      <c r="C870" s="15"/>
      <c r="D870" s="18" t="s">
        <v>32</v>
      </c>
      <c r="E870" s="17">
        <v>25000</v>
      </c>
      <c r="F870" s="13">
        <v>180</v>
      </c>
      <c r="G870" s="13">
        <v>400</v>
      </c>
      <c r="H870" s="19">
        <v>700000</v>
      </c>
      <c r="I870" s="19">
        <v>400000</v>
      </c>
      <c r="J870" s="20" t="s">
        <v>33</v>
      </c>
      <c r="K870" s="13">
        <v>51</v>
      </c>
      <c r="L870" s="18" t="s">
        <v>34</v>
      </c>
      <c r="M870" s="21" t="s">
        <v>67</v>
      </c>
      <c r="N870" s="18" t="s">
        <v>36</v>
      </c>
      <c r="O870" t="str">
        <f>IF(TRIM(J870)="","NULL",IFERROR(VLOOKUP(TRIM(J870),Lookup_PropertyType!$A:$B,2,FALSE()),"other"))</f>
        <v>apartment</v>
      </c>
      <c r="P870">
        <f t="shared" si="13"/>
        <v>0</v>
      </c>
    </row>
    <row r="871" spans="1:16" ht="15.75" customHeight="1" x14ac:dyDescent="0.35">
      <c r="A871" s="13">
        <v>870</v>
      </c>
      <c r="B871" s="14">
        <v>45935</v>
      </c>
      <c r="C871" s="14">
        <v>45978</v>
      </c>
      <c r="D871" s="18" t="s">
        <v>32</v>
      </c>
      <c r="E871" s="17">
        <v>10450</v>
      </c>
      <c r="F871" s="13">
        <v>180</v>
      </c>
      <c r="G871" s="13">
        <v>988</v>
      </c>
      <c r="H871" s="19">
        <v>450000</v>
      </c>
      <c r="I871" s="19">
        <v>200000</v>
      </c>
      <c r="J871" s="20" t="s">
        <v>33</v>
      </c>
      <c r="K871" s="13">
        <v>56</v>
      </c>
      <c r="L871" s="18" t="s">
        <v>38</v>
      </c>
      <c r="M871" s="18" t="s">
        <v>39</v>
      </c>
      <c r="N871" s="18" t="s">
        <v>42</v>
      </c>
      <c r="O871" t="str">
        <f>IF(TRIM(J871)="","NULL",IFERROR(VLOOKUP(TRIM(J871),Lookup_PropertyType!$A:$B,2,FALSE()),"other"))</f>
        <v>apartment</v>
      </c>
      <c r="P871">
        <f t="shared" si="13"/>
        <v>1</v>
      </c>
    </row>
    <row r="872" spans="1:16" ht="15.75" customHeight="1" x14ac:dyDescent="0.35">
      <c r="A872" s="13">
        <v>871</v>
      </c>
      <c r="B872" s="14">
        <v>45936</v>
      </c>
      <c r="C872" s="15"/>
      <c r="D872" s="18" t="s">
        <v>46</v>
      </c>
      <c r="E872" s="17">
        <v>25000</v>
      </c>
      <c r="F872" s="13">
        <v>180</v>
      </c>
      <c r="G872" s="13">
        <v>902</v>
      </c>
      <c r="H872" s="19">
        <v>760000</v>
      </c>
      <c r="I872" s="19">
        <v>30000</v>
      </c>
      <c r="J872" s="20" t="s">
        <v>33</v>
      </c>
      <c r="K872" s="13">
        <v>50</v>
      </c>
      <c r="L872" s="18" t="s">
        <v>38</v>
      </c>
      <c r="M872" s="21" t="s">
        <v>39</v>
      </c>
      <c r="N872" s="16" t="s">
        <v>50</v>
      </c>
      <c r="O872" t="str">
        <f>IF(TRIM(J872)="","NULL",IFERROR(VLOOKUP(TRIM(J872),Lookup_PropertyType!$A:$B,2,FALSE()),"other"))</f>
        <v>apartment</v>
      </c>
      <c r="P872">
        <f t="shared" si="13"/>
        <v>0</v>
      </c>
    </row>
    <row r="873" spans="1:16" ht="15.75" customHeight="1" x14ac:dyDescent="0.35">
      <c r="A873" s="13">
        <v>872</v>
      </c>
      <c r="B873" s="14">
        <v>45941</v>
      </c>
      <c r="C873" s="15"/>
      <c r="D873" s="18" t="s">
        <v>57</v>
      </c>
      <c r="E873" s="17">
        <v>17000</v>
      </c>
      <c r="F873" s="13">
        <v>120</v>
      </c>
      <c r="G873" s="13">
        <v>446</v>
      </c>
      <c r="H873" s="19">
        <v>250000</v>
      </c>
      <c r="I873" s="19">
        <v>100000</v>
      </c>
      <c r="J873" s="20" t="s">
        <v>33</v>
      </c>
      <c r="K873" s="13">
        <v>40</v>
      </c>
      <c r="L873" s="18" t="s">
        <v>41</v>
      </c>
      <c r="M873" s="21" t="s">
        <v>54</v>
      </c>
      <c r="N873" s="16" t="s">
        <v>50</v>
      </c>
      <c r="O873" t="str">
        <f>IF(TRIM(J873)="","NULL",IFERROR(VLOOKUP(TRIM(J873),Lookup_PropertyType!$A:$B,2,FALSE()),"other"))</f>
        <v>apartment</v>
      </c>
      <c r="P873">
        <f t="shared" si="13"/>
        <v>0</v>
      </c>
    </row>
    <row r="874" spans="1:16" ht="15.75" customHeight="1" x14ac:dyDescent="0.35">
      <c r="A874" s="13">
        <v>873</v>
      </c>
      <c r="B874" s="14">
        <v>45936</v>
      </c>
      <c r="C874" s="15"/>
      <c r="D874" s="18" t="s">
        <v>58</v>
      </c>
      <c r="E874" s="17">
        <v>18000</v>
      </c>
      <c r="F874" s="13">
        <v>120</v>
      </c>
      <c r="G874" s="13">
        <v>277</v>
      </c>
      <c r="H874" s="19">
        <v>700000</v>
      </c>
      <c r="I874" s="19">
        <v>75000</v>
      </c>
      <c r="J874" s="20" t="s">
        <v>33</v>
      </c>
      <c r="K874" s="13">
        <v>43</v>
      </c>
      <c r="L874" s="18" t="s">
        <v>34</v>
      </c>
      <c r="M874" s="18" t="s">
        <v>72</v>
      </c>
      <c r="N874" s="18" t="s">
        <v>42</v>
      </c>
      <c r="O874" t="str">
        <f>IF(TRIM(J874)="","NULL",IFERROR(VLOOKUP(TRIM(J874),Lookup_PropertyType!$A:$B,2,FALSE()),"other"))</f>
        <v>apartment</v>
      </c>
      <c r="P874">
        <f t="shared" si="13"/>
        <v>0</v>
      </c>
    </row>
    <row r="875" spans="1:16" ht="15.75" customHeight="1" x14ac:dyDescent="0.35">
      <c r="A875" s="13">
        <v>874</v>
      </c>
      <c r="B875" s="14">
        <v>45943</v>
      </c>
      <c r="C875" s="15"/>
      <c r="D875" s="18" t="s">
        <v>32</v>
      </c>
      <c r="E875" s="17">
        <v>17500</v>
      </c>
      <c r="F875" s="13">
        <v>180</v>
      </c>
      <c r="G875" s="13">
        <v>290</v>
      </c>
      <c r="H875" s="19">
        <v>600000</v>
      </c>
      <c r="I875" s="19">
        <v>300000</v>
      </c>
      <c r="J875" s="20" t="s">
        <v>33</v>
      </c>
      <c r="K875" s="13">
        <v>53</v>
      </c>
      <c r="L875" s="18" t="s">
        <v>38</v>
      </c>
      <c r="M875" s="21" t="s">
        <v>39</v>
      </c>
      <c r="N875" s="18" t="s">
        <v>36</v>
      </c>
      <c r="O875" t="str">
        <f>IF(TRIM(J875)="","NULL",IFERROR(VLOOKUP(TRIM(J875),Lookup_PropertyType!$A:$B,2,FALSE()),"other"))</f>
        <v>apartment</v>
      </c>
      <c r="P875">
        <f t="shared" si="13"/>
        <v>0</v>
      </c>
    </row>
    <row r="876" spans="1:16" ht="15.75" customHeight="1" x14ac:dyDescent="0.35">
      <c r="A876" s="13">
        <v>875</v>
      </c>
      <c r="B876" s="14">
        <v>45956</v>
      </c>
      <c r="C876" s="15"/>
      <c r="D876" s="18" t="s">
        <v>32</v>
      </c>
      <c r="E876" s="17">
        <v>12000</v>
      </c>
      <c r="F876" s="13">
        <v>150</v>
      </c>
      <c r="G876" s="13">
        <v>596</v>
      </c>
      <c r="H876" s="19">
        <v>1000000</v>
      </c>
      <c r="I876" s="19">
        <v>600000</v>
      </c>
      <c r="J876" s="20" t="s">
        <v>33</v>
      </c>
      <c r="K876" s="13">
        <v>34</v>
      </c>
      <c r="L876" s="18" t="s">
        <v>64</v>
      </c>
      <c r="M876" s="21" t="s">
        <v>39</v>
      </c>
      <c r="N876" s="16" t="s">
        <v>50</v>
      </c>
      <c r="O876" t="str">
        <f>IF(TRIM(J876)="","NULL",IFERROR(VLOOKUP(TRIM(J876),Lookup_PropertyType!$A:$B,2,FALSE()),"other"))</f>
        <v>apartment</v>
      </c>
      <c r="P876">
        <f t="shared" si="13"/>
        <v>0</v>
      </c>
    </row>
    <row r="877" spans="1:16" ht="15.75" customHeight="1" x14ac:dyDescent="0.35">
      <c r="A877" s="13">
        <v>876</v>
      </c>
      <c r="B877" s="14">
        <v>45946</v>
      </c>
      <c r="C877" s="15"/>
      <c r="D877" s="18" t="s">
        <v>57</v>
      </c>
      <c r="E877" s="17">
        <v>14000</v>
      </c>
      <c r="F877" s="13">
        <v>180</v>
      </c>
      <c r="G877" s="13">
        <v>467</v>
      </c>
      <c r="H877" s="19">
        <v>320000</v>
      </c>
      <c r="I877" s="19">
        <v>160000</v>
      </c>
      <c r="J877" s="20" t="s">
        <v>37</v>
      </c>
      <c r="K877" s="13">
        <v>52</v>
      </c>
      <c r="L877" s="18" t="s">
        <v>38</v>
      </c>
      <c r="M877" s="21" t="s">
        <v>39</v>
      </c>
      <c r="N877" s="16" t="s">
        <v>50</v>
      </c>
      <c r="O877" t="str">
        <f>IF(TRIM(J877)="","NULL",IFERROR(VLOOKUP(TRIM(J877),Lookup_PropertyType!$A:$B,2,FALSE()),"other"))</f>
        <v>house</v>
      </c>
      <c r="P877">
        <f t="shared" si="13"/>
        <v>0</v>
      </c>
    </row>
    <row r="878" spans="1:16" ht="15.75" customHeight="1" x14ac:dyDescent="0.35">
      <c r="A878" s="13">
        <v>877</v>
      </c>
      <c r="B878" s="14">
        <v>45941</v>
      </c>
      <c r="C878" s="15"/>
      <c r="D878" s="18" t="s">
        <v>32</v>
      </c>
      <c r="E878" s="17">
        <v>10000</v>
      </c>
      <c r="F878" s="13">
        <v>180</v>
      </c>
      <c r="G878" s="13">
        <v>982</v>
      </c>
      <c r="H878" s="19">
        <v>580000</v>
      </c>
      <c r="I878" s="19">
        <v>400000</v>
      </c>
      <c r="J878" s="20" t="s">
        <v>37</v>
      </c>
      <c r="K878" s="13">
        <v>47</v>
      </c>
      <c r="L878" s="18" t="s">
        <v>64</v>
      </c>
      <c r="M878" s="18" t="s">
        <v>72</v>
      </c>
      <c r="N878" s="18" t="s">
        <v>51</v>
      </c>
      <c r="O878" t="str">
        <f>IF(TRIM(J878)="","NULL",IFERROR(VLOOKUP(TRIM(J878),Lookup_PropertyType!$A:$B,2,FALSE()),"other"))</f>
        <v>house</v>
      </c>
      <c r="P878">
        <f t="shared" si="13"/>
        <v>0</v>
      </c>
    </row>
    <row r="879" spans="1:16" ht="15.75" customHeight="1" x14ac:dyDescent="0.35">
      <c r="A879" s="13">
        <v>878</v>
      </c>
      <c r="B879" s="14">
        <v>45941</v>
      </c>
      <c r="C879" s="15"/>
      <c r="D879" s="18" t="s">
        <v>32</v>
      </c>
      <c r="E879" s="17">
        <v>6300</v>
      </c>
      <c r="F879" s="13">
        <v>180</v>
      </c>
      <c r="G879" s="13">
        <v>956</v>
      </c>
      <c r="H879" s="19">
        <v>320000</v>
      </c>
      <c r="I879" s="19">
        <v>100000</v>
      </c>
      <c r="J879" s="20" t="s">
        <v>33</v>
      </c>
      <c r="K879" s="13">
        <v>41</v>
      </c>
      <c r="L879" s="18" t="s">
        <v>34</v>
      </c>
      <c r="M879" s="21" t="s">
        <v>39</v>
      </c>
      <c r="N879" s="16" t="s">
        <v>50</v>
      </c>
      <c r="O879" t="str">
        <f>IF(TRIM(J879)="","NULL",IFERROR(VLOOKUP(TRIM(J879),Lookup_PropertyType!$A:$B,2,FALSE()),"other"))</f>
        <v>apartment</v>
      </c>
      <c r="P879">
        <f t="shared" si="13"/>
        <v>0</v>
      </c>
    </row>
    <row r="880" spans="1:16" ht="15.75" customHeight="1" x14ac:dyDescent="0.35">
      <c r="A880" s="13">
        <v>879</v>
      </c>
      <c r="B880" s="14">
        <v>45941</v>
      </c>
      <c r="C880" s="15"/>
      <c r="D880" s="18" t="s">
        <v>32</v>
      </c>
      <c r="E880" s="17">
        <v>30000</v>
      </c>
      <c r="F880" s="13">
        <v>180</v>
      </c>
      <c r="G880" s="13">
        <v>898</v>
      </c>
      <c r="H880" s="19">
        <v>900000</v>
      </c>
      <c r="I880" s="19">
        <v>50000</v>
      </c>
      <c r="J880" s="20" t="s">
        <v>33</v>
      </c>
      <c r="K880" s="13">
        <v>42</v>
      </c>
      <c r="L880" s="18" t="s">
        <v>59</v>
      </c>
      <c r="M880" s="18" t="s">
        <v>35</v>
      </c>
      <c r="N880" s="18" t="s">
        <v>36</v>
      </c>
      <c r="O880" t="str">
        <f>IF(TRIM(J880)="","NULL",IFERROR(VLOOKUP(TRIM(J880),Lookup_PropertyType!$A:$B,2,FALSE()),"other"))</f>
        <v>apartment</v>
      </c>
      <c r="P880">
        <f t="shared" si="13"/>
        <v>0</v>
      </c>
    </row>
    <row r="881" spans="1:16" ht="15.75" customHeight="1" x14ac:dyDescent="0.35">
      <c r="A881" s="13">
        <v>880</v>
      </c>
      <c r="B881" s="14">
        <v>45943</v>
      </c>
      <c r="C881" s="15"/>
      <c r="D881" s="18" t="s">
        <v>58</v>
      </c>
      <c r="E881" s="17">
        <v>7000</v>
      </c>
      <c r="F881" s="13">
        <v>120</v>
      </c>
      <c r="G881" s="13">
        <v>330</v>
      </c>
      <c r="H881" s="19">
        <v>500000</v>
      </c>
      <c r="I881" s="19">
        <v>60000</v>
      </c>
      <c r="J881" s="20" t="s">
        <v>37</v>
      </c>
      <c r="K881" s="13">
        <v>37</v>
      </c>
      <c r="L881" s="18" t="s">
        <v>38</v>
      </c>
      <c r="M881" s="21" t="s">
        <v>35</v>
      </c>
      <c r="N881" s="18" t="s">
        <v>42</v>
      </c>
      <c r="O881" t="str">
        <f>IF(TRIM(J881)="","NULL",IFERROR(VLOOKUP(TRIM(J881),Lookup_PropertyType!$A:$B,2,FALSE()),"other"))</f>
        <v>house</v>
      </c>
      <c r="P881">
        <f t="shared" si="13"/>
        <v>0</v>
      </c>
    </row>
    <row r="882" spans="1:16" ht="15.75" customHeight="1" x14ac:dyDescent="0.35">
      <c r="A882" s="13">
        <v>881</v>
      </c>
      <c r="B882" s="14">
        <v>45950</v>
      </c>
      <c r="C882" s="15"/>
      <c r="D882" s="18" t="s">
        <v>66</v>
      </c>
      <c r="E882" s="17">
        <v>8000</v>
      </c>
      <c r="F882" s="13">
        <v>120</v>
      </c>
      <c r="G882" s="13">
        <v>361</v>
      </c>
      <c r="H882" s="19">
        <v>200000</v>
      </c>
      <c r="I882" s="19">
        <v>80000</v>
      </c>
      <c r="J882" s="20" t="s">
        <v>33</v>
      </c>
      <c r="K882" s="13">
        <v>36</v>
      </c>
      <c r="L882" s="18" t="s">
        <v>41</v>
      </c>
      <c r="M882" s="21" t="s">
        <v>39</v>
      </c>
      <c r="N882" s="16" t="s">
        <v>50</v>
      </c>
      <c r="O882" t="str">
        <f>IF(TRIM(J882)="","NULL",IFERROR(VLOOKUP(TRIM(J882),Lookup_PropertyType!$A:$B,2,FALSE()),"other"))</f>
        <v>apartment</v>
      </c>
      <c r="P882">
        <f t="shared" si="13"/>
        <v>0</v>
      </c>
    </row>
    <row r="883" spans="1:16" ht="15.75" customHeight="1" x14ac:dyDescent="0.35">
      <c r="A883" s="13">
        <v>882</v>
      </c>
      <c r="B883" s="14">
        <v>45943</v>
      </c>
      <c r="C883" s="15"/>
      <c r="D883" s="18" t="s">
        <v>32</v>
      </c>
      <c r="E883" s="17">
        <v>11000</v>
      </c>
      <c r="F883" s="13">
        <v>180</v>
      </c>
      <c r="G883" s="13">
        <v>669</v>
      </c>
      <c r="H883" s="19">
        <v>450000</v>
      </c>
      <c r="I883" s="19">
        <v>225000</v>
      </c>
      <c r="J883" s="20" t="s">
        <v>37</v>
      </c>
      <c r="K883" s="13">
        <v>53</v>
      </c>
      <c r="L883" s="18" t="s">
        <v>38</v>
      </c>
      <c r="M883" s="21" t="s">
        <v>39</v>
      </c>
      <c r="N883" s="16" t="s">
        <v>50</v>
      </c>
      <c r="O883" t="str">
        <f>IF(TRIM(J883)="","NULL",IFERROR(VLOOKUP(TRIM(J883),Lookup_PropertyType!$A:$B,2,FALSE()),"other"))</f>
        <v>house</v>
      </c>
      <c r="P883">
        <f t="shared" si="13"/>
        <v>0</v>
      </c>
    </row>
    <row r="884" spans="1:16" ht="15.75" customHeight="1" x14ac:dyDescent="0.35">
      <c r="A884" s="13">
        <v>883</v>
      </c>
      <c r="B884" s="14">
        <v>45977</v>
      </c>
      <c r="C884" s="15"/>
      <c r="D884" s="18" t="s">
        <v>46</v>
      </c>
      <c r="E884" s="17">
        <v>20000</v>
      </c>
      <c r="F884" s="13">
        <v>180</v>
      </c>
      <c r="G884" s="13">
        <v>333</v>
      </c>
      <c r="H884" s="19">
        <v>500000</v>
      </c>
      <c r="I884" s="19">
        <v>120000</v>
      </c>
      <c r="J884" s="20" t="s">
        <v>33</v>
      </c>
      <c r="K884" s="13">
        <v>42</v>
      </c>
      <c r="L884" s="18" t="s">
        <v>41</v>
      </c>
      <c r="M884" s="21" t="s">
        <v>39</v>
      </c>
      <c r="N884" s="18" t="s">
        <v>36</v>
      </c>
      <c r="O884" t="str">
        <f>IF(TRIM(J884)="","NULL",IFERROR(VLOOKUP(TRIM(J884),Lookup_PropertyType!$A:$B,2,FALSE()),"other"))</f>
        <v>apartment</v>
      </c>
      <c r="P884">
        <f t="shared" si="13"/>
        <v>0</v>
      </c>
    </row>
    <row r="885" spans="1:16" ht="15.75" customHeight="1" x14ac:dyDescent="0.35">
      <c r="A885" s="13">
        <v>884</v>
      </c>
      <c r="B885" s="14">
        <v>45939</v>
      </c>
      <c r="C885" s="14">
        <v>46027</v>
      </c>
      <c r="D885" s="18" t="s">
        <v>32</v>
      </c>
      <c r="E885" s="17">
        <v>7000</v>
      </c>
      <c r="F885" s="13">
        <v>180</v>
      </c>
      <c r="G885" s="13">
        <v>256</v>
      </c>
      <c r="H885" s="19">
        <v>400000</v>
      </c>
      <c r="I885" s="19">
        <v>30000</v>
      </c>
      <c r="J885" s="20" t="s">
        <v>37</v>
      </c>
      <c r="K885" s="13">
        <v>43</v>
      </c>
      <c r="L885" s="18" t="s">
        <v>38</v>
      </c>
      <c r="M885" s="21" t="s">
        <v>39</v>
      </c>
      <c r="N885" s="18" t="s">
        <v>36</v>
      </c>
      <c r="O885" t="str">
        <f>IF(TRIM(J885)="","NULL",IFERROR(VLOOKUP(TRIM(J885),Lookup_PropertyType!$A:$B,2,FALSE()),"other"))</f>
        <v>house</v>
      </c>
      <c r="P885">
        <f t="shared" si="13"/>
        <v>1</v>
      </c>
    </row>
    <row r="886" spans="1:16" ht="15.75" customHeight="1" x14ac:dyDescent="0.35">
      <c r="A886" s="13">
        <v>885</v>
      </c>
      <c r="B886" s="14">
        <v>45939</v>
      </c>
      <c r="C886" s="15"/>
      <c r="D886" s="18" t="s">
        <v>46</v>
      </c>
      <c r="E886" s="17">
        <v>20000</v>
      </c>
      <c r="F886" s="13">
        <v>150</v>
      </c>
      <c r="G886" s="13">
        <v>830</v>
      </c>
      <c r="H886" s="19">
        <v>250000</v>
      </c>
      <c r="I886" s="19">
        <v>90000</v>
      </c>
      <c r="J886" s="20" t="s">
        <v>33</v>
      </c>
      <c r="K886" s="13">
        <v>54</v>
      </c>
      <c r="L886" s="18" t="s">
        <v>38</v>
      </c>
      <c r="M886" s="21" t="s">
        <v>39</v>
      </c>
      <c r="N886" s="16" t="s">
        <v>50</v>
      </c>
      <c r="O886" t="str">
        <f>IF(TRIM(J886)="","NULL",IFERROR(VLOOKUP(TRIM(J886),Lookup_PropertyType!$A:$B,2,FALSE()),"other"))</f>
        <v>apartment</v>
      </c>
      <c r="P886">
        <f t="shared" si="13"/>
        <v>0</v>
      </c>
    </row>
    <row r="887" spans="1:16" ht="15.75" customHeight="1" x14ac:dyDescent="0.35">
      <c r="A887" s="13">
        <v>886</v>
      </c>
      <c r="B887" s="14">
        <v>45957</v>
      </c>
      <c r="C887" s="15"/>
      <c r="D887" s="18" t="s">
        <v>65</v>
      </c>
      <c r="E887" s="17">
        <v>20000</v>
      </c>
      <c r="F887" s="13">
        <v>180</v>
      </c>
      <c r="G887" s="13">
        <v>256</v>
      </c>
      <c r="H887" s="19">
        <v>200000</v>
      </c>
      <c r="I887" s="19">
        <v>100000</v>
      </c>
      <c r="J887" s="20" t="s">
        <v>33</v>
      </c>
      <c r="K887" s="13">
        <v>67</v>
      </c>
      <c r="L887" s="18" t="s">
        <v>38</v>
      </c>
      <c r="M887" s="18" t="s">
        <v>39</v>
      </c>
      <c r="N887" s="16" t="s">
        <v>50</v>
      </c>
      <c r="O887" t="str">
        <f>IF(TRIM(J887)="","NULL",IFERROR(VLOOKUP(TRIM(J887),Lookup_PropertyType!$A:$B,2,FALSE()),"other"))</f>
        <v>apartment</v>
      </c>
      <c r="P887">
        <f t="shared" si="13"/>
        <v>0</v>
      </c>
    </row>
    <row r="888" spans="1:16" ht="15.75" customHeight="1" x14ac:dyDescent="0.35">
      <c r="A888" s="13">
        <v>887</v>
      </c>
      <c r="B888" s="14">
        <v>45967</v>
      </c>
      <c r="C888" s="14">
        <v>46054</v>
      </c>
      <c r="D888" s="18" t="s">
        <v>32</v>
      </c>
      <c r="E888" s="17">
        <v>6000</v>
      </c>
      <c r="F888" s="13">
        <v>90</v>
      </c>
      <c r="G888" s="13">
        <v>705</v>
      </c>
      <c r="H888" s="19">
        <v>380000</v>
      </c>
      <c r="I888" s="19">
        <v>30000</v>
      </c>
      <c r="J888" s="20" t="s">
        <v>33</v>
      </c>
      <c r="K888" s="13">
        <v>46</v>
      </c>
      <c r="L888" s="18" t="s">
        <v>38</v>
      </c>
      <c r="M888" s="18" t="s">
        <v>39</v>
      </c>
      <c r="N888" s="18" t="s">
        <v>42</v>
      </c>
      <c r="O888" t="str">
        <f>IF(TRIM(J888)="","NULL",IFERROR(VLOOKUP(TRIM(J888),Lookup_PropertyType!$A:$B,2,FALSE()),"other"))</f>
        <v>apartment</v>
      </c>
      <c r="P888">
        <f t="shared" si="13"/>
        <v>1</v>
      </c>
    </row>
    <row r="889" spans="1:16" ht="15.75" customHeight="1" x14ac:dyDescent="0.35">
      <c r="A889" s="13">
        <v>888</v>
      </c>
      <c r="B889" s="14">
        <v>45950</v>
      </c>
      <c r="C889" s="15"/>
      <c r="D889" s="18" t="s">
        <v>55</v>
      </c>
      <c r="E889" s="17">
        <v>11000</v>
      </c>
      <c r="F889" s="13">
        <v>150</v>
      </c>
      <c r="G889" s="13">
        <v>489</v>
      </c>
      <c r="H889" s="19">
        <v>500000</v>
      </c>
      <c r="I889" s="19">
        <v>140000</v>
      </c>
      <c r="J889" s="20" t="s">
        <v>33</v>
      </c>
      <c r="K889" s="13">
        <v>48</v>
      </c>
      <c r="L889" s="18" t="s">
        <v>38</v>
      </c>
      <c r="M889" s="21" t="s">
        <v>35</v>
      </c>
      <c r="N889" s="18" t="s">
        <v>42</v>
      </c>
      <c r="O889" t="str">
        <f>IF(TRIM(J889)="","NULL",IFERROR(VLOOKUP(TRIM(J889),Lookup_PropertyType!$A:$B,2,FALSE()),"other"))</f>
        <v>apartment</v>
      </c>
      <c r="P889">
        <f t="shared" si="13"/>
        <v>0</v>
      </c>
    </row>
    <row r="890" spans="1:16" ht="15.75" customHeight="1" x14ac:dyDescent="0.35">
      <c r="A890" s="13">
        <v>889</v>
      </c>
      <c r="B890" s="14">
        <v>45955</v>
      </c>
      <c r="C890" s="15"/>
      <c r="D890" s="18" t="s">
        <v>32</v>
      </c>
      <c r="E890" s="17">
        <v>10000</v>
      </c>
      <c r="F890" s="13">
        <v>90</v>
      </c>
      <c r="G890" s="13">
        <v>489</v>
      </c>
      <c r="H890" s="19">
        <v>400000</v>
      </c>
      <c r="I890" s="19">
        <v>30000</v>
      </c>
      <c r="J890" s="20" t="s">
        <v>33</v>
      </c>
      <c r="K890" s="13">
        <v>36</v>
      </c>
      <c r="L890" s="18" t="s">
        <v>59</v>
      </c>
      <c r="M890" s="18" t="s">
        <v>39</v>
      </c>
      <c r="N890" s="18" t="s">
        <v>51</v>
      </c>
      <c r="O890" t="str">
        <f>IF(TRIM(J890)="","NULL",IFERROR(VLOOKUP(TRIM(J890),Lookup_PropertyType!$A:$B,2,FALSE()),"other"))</f>
        <v>apartment</v>
      </c>
      <c r="P890">
        <f t="shared" si="13"/>
        <v>0</v>
      </c>
    </row>
    <row r="891" spans="1:16" ht="15.75" customHeight="1" x14ac:dyDescent="0.35">
      <c r="A891" s="13">
        <v>890</v>
      </c>
      <c r="B891" s="14">
        <v>45941</v>
      </c>
      <c r="C891" s="15"/>
      <c r="D891" s="18" t="s">
        <v>58</v>
      </c>
      <c r="E891" s="17">
        <v>3200</v>
      </c>
      <c r="F891" s="13">
        <v>180</v>
      </c>
      <c r="G891" s="13">
        <v>560</v>
      </c>
      <c r="H891" s="19">
        <v>300000</v>
      </c>
      <c r="I891" s="19">
        <v>60000</v>
      </c>
      <c r="J891" s="20" t="s">
        <v>33</v>
      </c>
      <c r="K891" s="13">
        <v>50</v>
      </c>
      <c r="L891" s="18" t="s">
        <v>41</v>
      </c>
      <c r="M891" s="21" t="s">
        <v>35</v>
      </c>
      <c r="N891" s="18" t="s">
        <v>42</v>
      </c>
      <c r="O891" t="str">
        <f>IF(TRIM(J891)="","NULL",IFERROR(VLOOKUP(TRIM(J891),Lookup_PropertyType!$A:$B,2,FALSE()),"other"))</f>
        <v>apartment</v>
      </c>
      <c r="P891">
        <f t="shared" si="13"/>
        <v>0</v>
      </c>
    </row>
    <row r="892" spans="1:16" ht="15.75" customHeight="1" x14ac:dyDescent="0.35">
      <c r="A892" s="13">
        <v>891</v>
      </c>
      <c r="B892" s="14">
        <v>45946</v>
      </c>
      <c r="C892" s="15"/>
      <c r="D892" s="18" t="s">
        <v>32</v>
      </c>
      <c r="E892" s="17">
        <v>8199</v>
      </c>
      <c r="F892" s="13">
        <v>180</v>
      </c>
      <c r="G892" s="13">
        <v>921</v>
      </c>
      <c r="H892" s="19">
        <v>650000</v>
      </c>
      <c r="I892" s="19">
        <v>30000</v>
      </c>
      <c r="J892" s="20" t="s">
        <v>37</v>
      </c>
      <c r="K892" s="13">
        <v>35</v>
      </c>
      <c r="L892" s="18" t="s">
        <v>34</v>
      </c>
      <c r="M892" s="21" t="s">
        <v>39</v>
      </c>
      <c r="N892" s="18" t="s">
        <v>51</v>
      </c>
      <c r="O892" t="str">
        <f>IF(TRIM(J892)="","NULL",IFERROR(VLOOKUP(TRIM(J892),Lookup_PropertyType!$A:$B,2,FALSE()),"other"))</f>
        <v>house</v>
      </c>
      <c r="P892">
        <f t="shared" si="13"/>
        <v>0</v>
      </c>
    </row>
    <row r="893" spans="1:16" ht="15.75" customHeight="1" x14ac:dyDescent="0.35">
      <c r="A893" s="13">
        <v>892</v>
      </c>
      <c r="B893" s="14">
        <v>45941</v>
      </c>
      <c r="C893" s="15"/>
      <c r="D893" s="18" t="s">
        <v>49</v>
      </c>
      <c r="E893" s="17">
        <v>15000</v>
      </c>
      <c r="F893" s="13">
        <v>180</v>
      </c>
      <c r="G893" s="13">
        <v>563</v>
      </c>
      <c r="H893" s="19">
        <v>1500000</v>
      </c>
      <c r="I893" s="19">
        <v>150000</v>
      </c>
      <c r="J893" s="20" t="s">
        <v>53</v>
      </c>
      <c r="K893" s="13">
        <v>70</v>
      </c>
      <c r="L893" s="18" t="s">
        <v>45</v>
      </c>
      <c r="M893" s="21" t="s">
        <v>48</v>
      </c>
      <c r="N893" s="16" t="s">
        <v>50</v>
      </c>
      <c r="O893" t="str">
        <f>IF(TRIM(J893)="","NULL",IFERROR(VLOOKUP(TRIM(J893),Lookup_PropertyType!$A:$B,2,FALSE()),"other"))</f>
        <v>other</v>
      </c>
      <c r="P893">
        <f t="shared" si="13"/>
        <v>0</v>
      </c>
    </row>
    <row r="894" spans="1:16" ht="15.75" customHeight="1" x14ac:dyDescent="0.35">
      <c r="A894" s="13">
        <v>893</v>
      </c>
      <c r="B894" s="14">
        <v>45953</v>
      </c>
      <c r="C894" s="14">
        <v>46033</v>
      </c>
      <c r="D894" s="18" t="s">
        <v>32</v>
      </c>
      <c r="E894" s="17">
        <v>30000</v>
      </c>
      <c r="F894" s="13">
        <v>120</v>
      </c>
      <c r="G894" s="13">
        <v>968</v>
      </c>
      <c r="H894" s="19">
        <v>1500000</v>
      </c>
      <c r="I894" s="19">
        <v>250000</v>
      </c>
      <c r="J894" s="20" t="s">
        <v>33</v>
      </c>
      <c r="K894" s="13">
        <v>57</v>
      </c>
      <c r="L894" s="18" t="s">
        <v>45</v>
      </c>
      <c r="M894" s="21" t="s">
        <v>39</v>
      </c>
      <c r="N894" s="18" t="s">
        <v>36</v>
      </c>
      <c r="O894" t="str">
        <f>IF(TRIM(J894)="","NULL",IFERROR(VLOOKUP(TRIM(J894),Lookup_PropertyType!$A:$B,2,FALSE()),"other"))</f>
        <v>apartment</v>
      </c>
      <c r="P894">
        <f t="shared" si="13"/>
        <v>1</v>
      </c>
    </row>
    <row r="895" spans="1:16" ht="15.75" customHeight="1" x14ac:dyDescent="0.35">
      <c r="A895" s="13">
        <v>894</v>
      </c>
      <c r="B895" s="14">
        <v>45983</v>
      </c>
      <c r="C895" s="15"/>
      <c r="D895" s="18" t="s">
        <v>49</v>
      </c>
      <c r="E895" s="17">
        <v>8500</v>
      </c>
      <c r="F895" s="13">
        <v>180</v>
      </c>
      <c r="G895" s="13">
        <v>330</v>
      </c>
      <c r="H895" s="19">
        <v>595000</v>
      </c>
      <c r="I895" s="19">
        <v>60000</v>
      </c>
      <c r="J895" s="20" t="s">
        <v>37</v>
      </c>
      <c r="K895" s="13">
        <v>68</v>
      </c>
      <c r="L895" s="18" t="s">
        <v>38</v>
      </c>
      <c r="M895" s="21" t="s">
        <v>39</v>
      </c>
      <c r="N895" s="18" t="s">
        <v>43</v>
      </c>
      <c r="O895" t="str">
        <f>IF(TRIM(J895)="","NULL",IFERROR(VLOOKUP(TRIM(J895),Lookup_PropertyType!$A:$B,2,FALSE()),"other"))</f>
        <v>house</v>
      </c>
      <c r="P895">
        <f t="shared" si="13"/>
        <v>0</v>
      </c>
    </row>
    <row r="896" spans="1:16" ht="15.75" customHeight="1" x14ac:dyDescent="0.35">
      <c r="A896" s="13">
        <v>895</v>
      </c>
      <c r="B896" s="14">
        <v>45953</v>
      </c>
      <c r="C896" s="15"/>
      <c r="D896" s="18" t="s">
        <v>32</v>
      </c>
      <c r="E896" s="17">
        <v>40000</v>
      </c>
      <c r="F896" s="13">
        <v>180</v>
      </c>
      <c r="G896" s="13">
        <v>829</v>
      </c>
      <c r="H896" s="19">
        <v>4000000</v>
      </c>
      <c r="I896" s="19">
        <v>1200000</v>
      </c>
      <c r="J896" s="20" t="s">
        <v>60</v>
      </c>
      <c r="K896" s="13">
        <v>56</v>
      </c>
      <c r="L896" s="18" t="s">
        <v>41</v>
      </c>
      <c r="M896" s="21" t="s">
        <v>39</v>
      </c>
      <c r="N896" s="18" t="s">
        <v>36</v>
      </c>
      <c r="O896" t="str">
        <f>IF(TRIM(J896)="","NULL",IFERROR(VLOOKUP(TRIM(J896),Lookup_PropertyType!$A:$B,2,FALSE()),"other"))</f>
        <v>other</v>
      </c>
      <c r="P896">
        <f t="shared" si="13"/>
        <v>0</v>
      </c>
    </row>
    <row r="897" spans="1:16" ht="15.75" customHeight="1" x14ac:dyDescent="0.35">
      <c r="A897" s="13">
        <v>896</v>
      </c>
      <c r="B897" s="14">
        <v>45954</v>
      </c>
      <c r="C897" s="14">
        <v>46019</v>
      </c>
      <c r="D897" s="18" t="s">
        <v>32</v>
      </c>
      <c r="E897" s="17">
        <v>20000</v>
      </c>
      <c r="F897" s="13">
        <v>180</v>
      </c>
      <c r="G897" s="13">
        <v>486</v>
      </c>
      <c r="H897" s="19">
        <v>500000</v>
      </c>
      <c r="I897" s="19">
        <v>250000</v>
      </c>
      <c r="J897" s="20" t="s">
        <v>33</v>
      </c>
      <c r="K897" s="13">
        <v>42</v>
      </c>
      <c r="L897" s="18" t="s">
        <v>38</v>
      </c>
      <c r="M897" s="18" t="s">
        <v>67</v>
      </c>
      <c r="N897" s="18" t="s">
        <v>42</v>
      </c>
      <c r="O897" t="str">
        <f>IF(TRIM(J897)="","NULL",IFERROR(VLOOKUP(TRIM(J897),Lookup_PropertyType!$A:$B,2,FALSE()),"other"))</f>
        <v>apartment</v>
      </c>
      <c r="P897">
        <f t="shared" si="13"/>
        <v>1</v>
      </c>
    </row>
    <row r="898" spans="1:16" ht="15.75" customHeight="1" x14ac:dyDescent="0.35">
      <c r="A898" s="13">
        <v>897</v>
      </c>
      <c r="B898" s="14">
        <v>45947</v>
      </c>
      <c r="C898" s="15"/>
      <c r="D898" s="18" t="s">
        <v>32</v>
      </c>
      <c r="E898" s="17">
        <v>12000</v>
      </c>
      <c r="F898" s="13">
        <v>180</v>
      </c>
      <c r="G898" s="13">
        <v>628</v>
      </c>
      <c r="H898" s="19">
        <v>550000</v>
      </c>
      <c r="I898" s="19">
        <v>60000</v>
      </c>
      <c r="J898" s="20" t="s">
        <v>37</v>
      </c>
      <c r="K898" s="13">
        <v>55</v>
      </c>
      <c r="L898" s="18" t="s">
        <v>38</v>
      </c>
      <c r="M898" s="21" t="s">
        <v>39</v>
      </c>
      <c r="N898" s="18" t="s">
        <v>42</v>
      </c>
      <c r="O898" t="str">
        <f>IF(TRIM(J898)="","NULL",IFERROR(VLOOKUP(TRIM(J898),Lookup_PropertyType!$A:$B,2,FALSE()),"other"))</f>
        <v>house</v>
      </c>
      <c r="P898">
        <f t="shared" ref="P898:P961" si="14">IF(AND(C898&lt;&gt;"",C898&gt;=B898),1,0)</f>
        <v>0</v>
      </c>
    </row>
    <row r="899" spans="1:16" ht="15.75" customHeight="1" x14ac:dyDescent="0.35">
      <c r="A899" s="13">
        <v>898</v>
      </c>
      <c r="B899" s="14">
        <v>45947</v>
      </c>
      <c r="C899" s="15"/>
      <c r="D899" s="18" t="s">
        <v>32</v>
      </c>
      <c r="E899" s="17">
        <v>60000</v>
      </c>
      <c r="F899" s="13">
        <v>180</v>
      </c>
      <c r="G899" s="13">
        <v>937</v>
      </c>
      <c r="H899" s="19">
        <v>3200000</v>
      </c>
      <c r="I899" s="19">
        <v>700000</v>
      </c>
      <c r="J899" s="20" t="s">
        <v>33</v>
      </c>
      <c r="K899" s="13">
        <v>54</v>
      </c>
      <c r="L899" s="18" t="s">
        <v>34</v>
      </c>
      <c r="M899" s="21" t="s">
        <v>54</v>
      </c>
      <c r="N899" s="18" t="s">
        <v>42</v>
      </c>
      <c r="O899" t="str">
        <f>IF(TRIM(J899)="","NULL",IFERROR(VLOOKUP(TRIM(J899),Lookup_PropertyType!$A:$B,2,FALSE()),"other"))</f>
        <v>apartment</v>
      </c>
      <c r="P899">
        <f t="shared" si="14"/>
        <v>0</v>
      </c>
    </row>
    <row r="900" spans="1:16" ht="15.75" customHeight="1" x14ac:dyDescent="0.35">
      <c r="A900" s="13">
        <v>899</v>
      </c>
      <c r="B900" s="14">
        <v>45946</v>
      </c>
      <c r="C900" s="14">
        <v>45990</v>
      </c>
      <c r="D900" s="18" t="s">
        <v>32</v>
      </c>
      <c r="E900" s="17">
        <v>5000</v>
      </c>
      <c r="F900" s="13">
        <v>120</v>
      </c>
      <c r="G900" s="13">
        <v>1000</v>
      </c>
      <c r="H900" s="19">
        <v>350000</v>
      </c>
      <c r="I900" s="19">
        <v>70000</v>
      </c>
      <c r="J900" s="20" t="s">
        <v>37</v>
      </c>
      <c r="K900" s="13">
        <v>57</v>
      </c>
      <c r="L900" s="18" t="s">
        <v>34</v>
      </c>
      <c r="M900" s="21" t="s">
        <v>39</v>
      </c>
      <c r="N900" s="16" t="s">
        <v>42</v>
      </c>
      <c r="O900" t="str">
        <f>IF(TRIM(J900)="","NULL",IFERROR(VLOOKUP(TRIM(J900),Lookup_PropertyType!$A:$B,2,FALSE()),"other"))</f>
        <v>house</v>
      </c>
      <c r="P900">
        <f t="shared" si="14"/>
        <v>1</v>
      </c>
    </row>
    <row r="901" spans="1:16" ht="15.75" customHeight="1" x14ac:dyDescent="0.35">
      <c r="A901" s="13">
        <v>900</v>
      </c>
      <c r="B901" s="14">
        <v>45946</v>
      </c>
      <c r="C901" s="15"/>
      <c r="D901" s="18" t="s">
        <v>32</v>
      </c>
      <c r="E901" s="17">
        <v>9922</v>
      </c>
      <c r="F901" s="13">
        <v>120</v>
      </c>
      <c r="G901" s="13">
        <v>669</v>
      </c>
      <c r="H901" s="19">
        <v>400000</v>
      </c>
      <c r="I901" s="19">
        <v>115000</v>
      </c>
      <c r="J901" s="20" t="s">
        <v>33</v>
      </c>
      <c r="K901" s="13">
        <v>46</v>
      </c>
      <c r="L901" s="18" t="s">
        <v>38</v>
      </c>
      <c r="M901" s="21" t="s">
        <v>39</v>
      </c>
      <c r="N901" s="16" t="s">
        <v>42</v>
      </c>
      <c r="O901" t="str">
        <f>IF(TRIM(J901)="","NULL",IFERROR(VLOOKUP(TRIM(J901),Lookup_PropertyType!$A:$B,2,FALSE()),"other"))</f>
        <v>apartment</v>
      </c>
      <c r="P901">
        <f t="shared" si="14"/>
        <v>0</v>
      </c>
    </row>
    <row r="902" spans="1:16" ht="15.75" customHeight="1" x14ac:dyDescent="0.35">
      <c r="A902" s="13">
        <v>901</v>
      </c>
      <c r="B902" s="14">
        <v>45949</v>
      </c>
      <c r="C902" s="15"/>
      <c r="D902" s="18" t="s">
        <v>58</v>
      </c>
      <c r="E902" s="17">
        <v>15000</v>
      </c>
      <c r="F902" s="13">
        <v>90</v>
      </c>
      <c r="G902" s="13">
        <v>369</v>
      </c>
      <c r="H902" s="19">
        <v>350000</v>
      </c>
      <c r="I902" s="19">
        <v>120000</v>
      </c>
      <c r="J902" s="20" t="s">
        <v>37</v>
      </c>
      <c r="K902" s="13">
        <v>49</v>
      </c>
      <c r="L902" s="18" t="s">
        <v>45</v>
      </c>
      <c r="M902" s="21" t="s">
        <v>39</v>
      </c>
      <c r="N902" s="16" t="s">
        <v>36</v>
      </c>
      <c r="O902" t="str">
        <f>IF(TRIM(J902)="","NULL",IFERROR(VLOOKUP(TRIM(J902),Lookup_PropertyType!$A:$B,2,FALSE()),"other"))</f>
        <v>house</v>
      </c>
      <c r="P902">
        <f t="shared" si="14"/>
        <v>0</v>
      </c>
    </row>
    <row r="903" spans="1:16" ht="15.75" customHeight="1" x14ac:dyDescent="0.35">
      <c r="A903" s="13">
        <v>902</v>
      </c>
      <c r="B903" s="14">
        <v>45943</v>
      </c>
      <c r="C903" s="15"/>
      <c r="D903" s="18" t="s">
        <v>32</v>
      </c>
      <c r="E903" s="17">
        <v>10000</v>
      </c>
      <c r="F903" s="13">
        <v>180</v>
      </c>
      <c r="G903" s="13">
        <v>672</v>
      </c>
      <c r="H903" s="19">
        <v>650000</v>
      </c>
      <c r="I903" s="19">
        <v>120000</v>
      </c>
      <c r="J903" s="20" t="s">
        <v>33</v>
      </c>
      <c r="K903" s="13">
        <v>70</v>
      </c>
      <c r="L903" s="18" t="s">
        <v>64</v>
      </c>
      <c r="M903" s="21" t="s">
        <v>39</v>
      </c>
      <c r="N903" s="16" t="s">
        <v>50</v>
      </c>
      <c r="O903" t="str">
        <f>IF(TRIM(J903)="","NULL",IFERROR(VLOOKUP(TRIM(J903),Lookup_PropertyType!$A:$B,2,FALSE()),"other"))</f>
        <v>apartment</v>
      </c>
      <c r="P903">
        <f t="shared" si="14"/>
        <v>0</v>
      </c>
    </row>
    <row r="904" spans="1:16" ht="15.75" customHeight="1" x14ac:dyDescent="0.35">
      <c r="A904" s="13">
        <v>903</v>
      </c>
      <c r="B904" s="14">
        <v>45950</v>
      </c>
      <c r="C904" s="15"/>
      <c r="D904" s="18" t="s">
        <v>32</v>
      </c>
      <c r="E904" s="17">
        <v>25000</v>
      </c>
      <c r="F904" s="13">
        <v>180</v>
      </c>
      <c r="G904" s="13">
        <v>377</v>
      </c>
      <c r="H904" s="19">
        <v>280000</v>
      </c>
      <c r="I904" s="19">
        <v>160000</v>
      </c>
      <c r="J904" s="20" t="s">
        <v>37</v>
      </c>
      <c r="K904" s="13">
        <v>35</v>
      </c>
      <c r="L904" s="18" t="s">
        <v>64</v>
      </c>
      <c r="M904" s="21" t="s">
        <v>39</v>
      </c>
      <c r="N904" s="16" t="s">
        <v>36</v>
      </c>
      <c r="O904" t="str">
        <f>IF(TRIM(J904)="","NULL",IFERROR(VLOOKUP(TRIM(J904),Lookup_PropertyType!$A:$B,2,FALSE()),"other"))</f>
        <v>house</v>
      </c>
      <c r="P904">
        <f t="shared" si="14"/>
        <v>0</v>
      </c>
    </row>
    <row r="905" spans="1:16" ht="15.75" customHeight="1" x14ac:dyDescent="0.35">
      <c r="A905" s="13">
        <v>904</v>
      </c>
      <c r="B905" s="14">
        <v>45949</v>
      </c>
      <c r="C905" s="14">
        <v>45984</v>
      </c>
      <c r="D905" s="18" t="s">
        <v>32</v>
      </c>
      <c r="E905" s="17">
        <v>7000</v>
      </c>
      <c r="F905" s="13">
        <v>150</v>
      </c>
      <c r="G905" s="13">
        <v>646</v>
      </c>
      <c r="H905" s="19">
        <v>190000</v>
      </c>
      <c r="I905" s="19">
        <v>35000</v>
      </c>
      <c r="J905" s="20" t="s">
        <v>33</v>
      </c>
      <c r="K905" s="13">
        <v>46</v>
      </c>
      <c r="L905" s="18" t="s">
        <v>38</v>
      </c>
      <c r="M905" s="21" t="s">
        <v>54</v>
      </c>
      <c r="N905" s="16" t="s">
        <v>51</v>
      </c>
      <c r="O905" t="str">
        <f>IF(TRIM(J905)="","NULL",IFERROR(VLOOKUP(TRIM(J905),Lookup_PropertyType!$A:$B,2,FALSE()),"other"))</f>
        <v>apartment</v>
      </c>
      <c r="P905">
        <f t="shared" si="14"/>
        <v>1</v>
      </c>
    </row>
    <row r="906" spans="1:16" ht="15.75" customHeight="1" x14ac:dyDescent="0.35">
      <c r="A906" s="13">
        <v>905</v>
      </c>
      <c r="B906" s="14">
        <v>45956</v>
      </c>
      <c r="C906" s="15"/>
      <c r="D906" s="18" t="s">
        <v>57</v>
      </c>
      <c r="E906" s="17">
        <v>10221</v>
      </c>
      <c r="F906" s="13">
        <v>180</v>
      </c>
      <c r="G906" s="13">
        <v>800</v>
      </c>
      <c r="H906" s="19">
        <v>500000</v>
      </c>
      <c r="I906" s="19">
        <v>200000</v>
      </c>
      <c r="J906" s="20" t="s">
        <v>33</v>
      </c>
      <c r="K906" s="13">
        <v>48</v>
      </c>
      <c r="L906" s="18" t="s">
        <v>38</v>
      </c>
      <c r="M906" s="21" t="s">
        <v>39</v>
      </c>
      <c r="N906" s="16" t="s">
        <v>50</v>
      </c>
      <c r="O906" t="str">
        <f>IF(TRIM(J906)="","NULL",IFERROR(VLOOKUP(TRIM(J906),Lookup_PropertyType!$A:$B,2,FALSE()),"other"))</f>
        <v>apartment</v>
      </c>
      <c r="P906">
        <f t="shared" si="14"/>
        <v>0</v>
      </c>
    </row>
    <row r="907" spans="1:16" ht="15.75" customHeight="1" x14ac:dyDescent="0.35">
      <c r="A907" s="13">
        <v>906</v>
      </c>
      <c r="B907" s="14">
        <v>45949</v>
      </c>
      <c r="C907" s="15"/>
      <c r="D907" s="18" t="s">
        <v>32</v>
      </c>
      <c r="E907" s="17">
        <v>6000</v>
      </c>
      <c r="F907" s="13">
        <v>90</v>
      </c>
      <c r="G907" s="13">
        <v>917</v>
      </c>
      <c r="H907" s="19">
        <v>300000</v>
      </c>
      <c r="I907" s="19">
        <v>100000</v>
      </c>
      <c r="J907" s="20" t="s">
        <v>37</v>
      </c>
      <c r="K907" s="13">
        <v>42</v>
      </c>
      <c r="L907" s="18" t="s">
        <v>59</v>
      </c>
      <c r="M907" s="18" t="s">
        <v>72</v>
      </c>
      <c r="N907" s="16" t="s">
        <v>36</v>
      </c>
      <c r="O907" t="str">
        <f>IF(TRIM(J907)="","NULL",IFERROR(VLOOKUP(TRIM(J907),Lookup_PropertyType!$A:$B,2,FALSE()),"other"))</f>
        <v>house</v>
      </c>
      <c r="P907">
        <f t="shared" si="14"/>
        <v>0</v>
      </c>
    </row>
    <row r="908" spans="1:16" ht="15.75" customHeight="1" x14ac:dyDescent="0.35">
      <c r="A908" s="13">
        <v>907</v>
      </c>
      <c r="B908" s="14">
        <v>45956</v>
      </c>
      <c r="C908" s="15"/>
      <c r="D908" s="18" t="s">
        <v>32</v>
      </c>
      <c r="E908" s="17">
        <v>10000</v>
      </c>
      <c r="F908" s="13">
        <v>90</v>
      </c>
      <c r="G908" s="13">
        <v>432</v>
      </c>
      <c r="H908" s="19">
        <v>400000</v>
      </c>
      <c r="I908" s="19">
        <v>30000</v>
      </c>
      <c r="J908" s="20" t="s">
        <v>37</v>
      </c>
      <c r="K908" s="13">
        <v>36</v>
      </c>
      <c r="L908" s="18" t="s">
        <v>59</v>
      </c>
      <c r="M908" s="18" t="s">
        <v>39</v>
      </c>
      <c r="N908" s="16" t="s">
        <v>36</v>
      </c>
      <c r="O908" t="str">
        <f>IF(TRIM(J908)="","NULL",IFERROR(VLOOKUP(TRIM(J908),Lookup_PropertyType!$A:$B,2,FALSE()),"other"))</f>
        <v>house</v>
      </c>
      <c r="P908">
        <f t="shared" si="14"/>
        <v>0</v>
      </c>
    </row>
    <row r="909" spans="1:16" ht="15.75" customHeight="1" x14ac:dyDescent="0.35">
      <c r="A909" s="13">
        <v>908</v>
      </c>
      <c r="B909" s="14">
        <v>45978</v>
      </c>
      <c r="C909" s="14">
        <v>46034</v>
      </c>
      <c r="D909" s="18" t="s">
        <v>49</v>
      </c>
      <c r="E909" s="17">
        <v>12000</v>
      </c>
      <c r="F909" s="13">
        <v>90</v>
      </c>
      <c r="G909" s="13">
        <v>916</v>
      </c>
      <c r="H909" s="19">
        <v>550000</v>
      </c>
      <c r="I909" s="19">
        <v>60000</v>
      </c>
      <c r="J909" s="20" t="s">
        <v>33</v>
      </c>
      <c r="K909" s="13">
        <v>47</v>
      </c>
      <c r="L909" s="18" t="s">
        <v>34</v>
      </c>
      <c r="M909" s="18" t="s">
        <v>72</v>
      </c>
      <c r="N909" s="16" t="s">
        <v>36</v>
      </c>
      <c r="O909" t="str">
        <f>IF(TRIM(J909)="","NULL",IFERROR(VLOOKUP(TRIM(J909),Lookup_PropertyType!$A:$B,2,FALSE()),"other"))</f>
        <v>apartment</v>
      </c>
      <c r="P909">
        <f t="shared" si="14"/>
        <v>1</v>
      </c>
    </row>
    <row r="910" spans="1:16" ht="15.75" customHeight="1" x14ac:dyDescent="0.35">
      <c r="A910" s="13">
        <v>909</v>
      </c>
      <c r="B910" s="14">
        <v>45949</v>
      </c>
      <c r="C910" s="15"/>
      <c r="D910" s="18" t="s">
        <v>32</v>
      </c>
      <c r="E910" s="17">
        <v>24000</v>
      </c>
      <c r="F910" s="13">
        <v>180</v>
      </c>
      <c r="G910" s="13">
        <v>431</v>
      </c>
      <c r="H910" s="19">
        <v>660000</v>
      </c>
      <c r="I910" s="19">
        <v>400000</v>
      </c>
      <c r="J910" s="20" t="s">
        <v>33</v>
      </c>
      <c r="K910" s="13">
        <v>34</v>
      </c>
      <c r="L910" s="18" t="s">
        <v>64</v>
      </c>
      <c r="M910" s="21" t="s">
        <v>39</v>
      </c>
      <c r="N910" s="16" t="s">
        <v>42</v>
      </c>
      <c r="O910" t="str">
        <f>IF(TRIM(J910)="","NULL",IFERROR(VLOOKUP(TRIM(J910),Lookup_PropertyType!$A:$B,2,FALSE()),"other"))</f>
        <v>apartment</v>
      </c>
      <c r="P910">
        <f t="shared" si="14"/>
        <v>0</v>
      </c>
    </row>
    <row r="911" spans="1:16" ht="15.75" customHeight="1" x14ac:dyDescent="0.35">
      <c r="A911" s="13">
        <v>910</v>
      </c>
      <c r="B911" s="14">
        <v>45961</v>
      </c>
      <c r="C911" s="15"/>
      <c r="D911" s="18" t="s">
        <v>58</v>
      </c>
      <c r="E911" s="17">
        <v>15700</v>
      </c>
      <c r="F911" s="13">
        <v>180</v>
      </c>
      <c r="G911" s="13">
        <v>392</v>
      </c>
      <c r="H911" s="19">
        <v>450000</v>
      </c>
      <c r="I911" s="19">
        <v>250000</v>
      </c>
      <c r="J911" s="20" t="s">
        <v>33</v>
      </c>
      <c r="K911" s="13">
        <v>46</v>
      </c>
      <c r="L911" s="18" t="s">
        <v>38</v>
      </c>
      <c r="M911" s="21" t="s">
        <v>39</v>
      </c>
      <c r="N911" s="16" t="s">
        <v>42</v>
      </c>
      <c r="O911" t="str">
        <f>IF(TRIM(J911)="","NULL",IFERROR(VLOOKUP(TRIM(J911),Lookup_PropertyType!$A:$B,2,FALSE()),"other"))</f>
        <v>apartment</v>
      </c>
      <c r="P911">
        <f t="shared" si="14"/>
        <v>0</v>
      </c>
    </row>
    <row r="912" spans="1:16" ht="15.75" customHeight="1" x14ac:dyDescent="0.35">
      <c r="A912" s="13">
        <v>911</v>
      </c>
      <c r="B912" s="14">
        <v>45955</v>
      </c>
      <c r="C912" s="14">
        <v>46046</v>
      </c>
      <c r="D912" s="18" t="s">
        <v>32</v>
      </c>
      <c r="E912" s="17">
        <v>16000</v>
      </c>
      <c r="F912" s="13">
        <v>180</v>
      </c>
      <c r="G912" s="13">
        <v>909</v>
      </c>
      <c r="H912" s="19">
        <v>600000</v>
      </c>
      <c r="I912" s="19">
        <v>300000</v>
      </c>
      <c r="J912" s="20" t="s">
        <v>33</v>
      </c>
      <c r="K912" s="13">
        <v>57</v>
      </c>
      <c r="L912" s="18" t="s">
        <v>41</v>
      </c>
      <c r="M912" s="21" t="s">
        <v>39</v>
      </c>
      <c r="N912" s="16" t="s">
        <v>51</v>
      </c>
      <c r="O912" t="str">
        <f>IF(TRIM(J912)="","NULL",IFERROR(VLOOKUP(TRIM(J912),Lookup_PropertyType!$A:$B,2,FALSE()),"other"))</f>
        <v>apartment</v>
      </c>
      <c r="P912">
        <f t="shared" si="14"/>
        <v>1</v>
      </c>
    </row>
    <row r="913" spans="1:16" ht="15.75" customHeight="1" x14ac:dyDescent="0.35">
      <c r="A913" s="13">
        <v>912</v>
      </c>
      <c r="B913" s="14">
        <v>45996</v>
      </c>
      <c r="C913" s="15"/>
      <c r="D913" s="18" t="s">
        <v>32</v>
      </c>
      <c r="E913" s="17">
        <v>7500</v>
      </c>
      <c r="F913" s="13">
        <v>180</v>
      </c>
      <c r="G913" s="13">
        <v>930</v>
      </c>
      <c r="H913" s="19">
        <v>400000</v>
      </c>
      <c r="I913" s="19">
        <v>300000</v>
      </c>
      <c r="J913" s="20" t="s">
        <v>33</v>
      </c>
      <c r="K913" s="13">
        <v>44</v>
      </c>
      <c r="L913" s="18" t="s">
        <v>34</v>
      </c>
      <c r="M913" s="21" t="s">
        <v>39</v>
      </c>
      <c r="N913" s="16" t="s">
        <v>42</v>
      </c>
      <c r="O913" t="str">
        <f>IF(TRIM(J913)="","NULL",IFERROR(VLOOKUP(TRIM(J913),Lookup_PropertyType!$A:$B,2,FALSE()),"other"))</f>
        <v>apartment</v>
      </c>
      <c r="P913">
        <f t="shared" si="14"/>
        <v>0</v>
      </c>
    </row>
    <row r="914" spans="1:16" ht="15.75" customHeight="1" x14ac:dyDescent="0.35">
      <c r="A914" s="13">
        <v>913</v>
      </c>
      <c r="B914" s="14">
        <v>45953</v>
      </c>
      <c r="C914" s="14">
        <v>46038</v>
      </c>
      <c r="D914" s="18" t="s">
        <v>58</v>
      </c>
      <c r="E914" s="17">
        <v>26000</v>
      </c>
      <c r="F914" s="13">
        <v>180</v>
      </c>
      <c r="G914" s="13">
        <v>512</v>
      </c>
      <c r="H914" s="19">
        <v>450000</v>
      </c>
      <c r="I914" s="19">
        <v>250000</v>
      </c>
      <c r="J914" s="20" t="s">
        <v>33</v>
      </c>
      <c r="K914" s="13">
        <v>60</v>
      </c>
      <c r="L914" s="18" t="s">
        <v>38</v>
      </c>
      <c r="M914" s="21" t="s">
        <v>48</v>
      </c>
      <c r="N914" s="16" t="s">
        <v>43</v>
      </c>
      <c r="O914" t="str">
        <f>IF(TRIM(J914)="","NULL",IFERROR(VLOOKUP(TRIM(J914),Lookup_PropertyType!$A:$B,2,FALSE()),"other"))</f>
        <v>apartment</v>
      </c>
      <c r="P914">
        <f t="shared" si="14"/>
        <v>1</v>
      </c>
    </row>
    <row r="915" spans="1:16" ht="15.75" customHeight="1" x14ac:dyDescent="0.35">
      <c r="A915" s="13">
        <v>914</v>
      </c>
      <c r="B915" s="14">
        <v>45953</v>
      </c>
      <c r="C915" s="14">
        <v>45991</v>
      </c>
      <c r="D915" s="18" t="s">
        <v>32</v>
      </c>
      <c r="E915" s="17">
        <v>9400</v>
      </c>
      <c r="F915" s="13">
        <v>180</v>
      </c>
      <c r="G915" s="13">
        <v>735</v>
      </c>
      <c r="H915" s="19">
        <v>310000</v>
      </c>
      <c r="I915" s="19">
        <v>50000</v>
      </c>
      <c r="J915" s="20" t="s">
        <v>33</v>
      </c>
      <c r="K915" s="13">
        <v>39</v>
      </c>
      <c r="L915" s="18" t="s">
        <v>38</v>
      </c>
      <c r="M915" s="21" t="s">
        <v>54</v>
      </c>
      <c r="N915" s="16" t="s">
        <v>42</v>
      </c>
      <c r="O915" t="str">
        <f>IF(TRIM(J915)="","NULL",IFERROR(VLOOKUP(TRIM(J915),Lookup_PropertyType!$A:$B,2,FALSE()),"other"))</f>
        <v>apartment</v>
      </c>
      <c r="P915">
        <f t="shared" si="14"/>
        <v>1</v>
      </c>
    </row>
    <row r="916" spans="1:16" ht="15.75" customHeight="1" x14ac:dyDescent="0.35">
      <c r="A916" s="13">
        <v>915</v>
      </c>
      <c r="B916" s="14">
        <v>45954</v>
      </c>
      <c r="C916" s="14">
        <v>45991</v>
      </c>
      <c r="D916" s="18" t="s">
        <v>46</v>
      </c>
      <c r="E916" s="17">
        <v>20000</v>
      </c>
      <c r="F916" s="13">
        <v>180</v>
      </c>
      <c r="G916" s="13">
        <v>720</v>
      </c>
      <c r="H916" s="19">
        <v>1000000</v>
      </c>
      <c r="I916" s="19">
        <v>1244527</v>
      </c>
      <c r="J916" s="20" t="s">
        <v>37</v>
      </c>
      <c r="K916" s="13">
        <v>39</v>
      </c>
      <c r="L916" s="18" t="s">
        <v>38</v>
      </c>
      <c r="M916" s="21" t="s">
        <v>39</v>
      </c>
      <c r="N916" s="16" t="s">
        <v>36</v>
      </c>
      <c r="O916" t="str">
        <f>IF(TRIM(J916)="","NULL",IFERROR(VLOOKUP(TRIM(J916),Lookup_PropertyType!$A:$B,2,FALSE()),"other"))</f>
        <v>house</v>
      </c>
      <c r="P916">
        <f t="shared" si="14"/>
        <v>1</v>
      </c>
    </row>
    <row r="917" spans="1:16" ht="15.75" customHeight="1" x14ac:dyDescent="0.35">
      <c r="A917" s="13">
        <v>916</v>
      </c>
      <c r="B917" s="14">
        <v>46002</v>
      </c>
      <c r="C917" s="15"/>
      <c r="D917" s="18" t="s">
        <v>32</v>
      </c>
      <c r="E917" s="17">
        <v>3000</v>
      </c>
      <c r="F917" s="13">
        <v>150</v>
      </c>
      <c r="G917" s="13">
        <v>256</v>
      </c>
      <c r="H917" s="19">
        <v>150000</v>
      </c>
      <c r="I917" s="19">
        <v>35000</v>
      </c>
      <c r="J917" s="20" t="s">
        <v>37</v>
      </c>
      <c r="K917" s="13">
        <v>48</v>
      </c>
      <c r="L917" s="18" t="s">
        <v>38</v>
      </c>
      <c r="M917" s="21" t="s">
        <v>54</v>
      </c>
      <c r="N917" s="16" t="s">
        <v>42</v>
      </c>
      <c r="O917" t="str">
        <f>IF(TRIM(J917)="","NULL",IFERROR(VLOOKUP(TRIM(J917),Lookup_PropertyType!$A:$B,2,FALSE()),"other"))</f>
        <v>house</v>
      </c>
      <c r="P917">
        <f t="shared" si="14"/>
        <v>0</v>
      </c>
    </row>
    <row r="918" spans="1:16" ht="15.75" customHeight="1" x14ac:dyDescent="0.35">
      <c r="A918" s="13">
        <v>917</v>
      </c>
      <c r="B918" s="14">
        <v>45989</v>
      </c>
      <c r="C918" s="15"/>
      <c r="D918" s="18" t="s">
        <v>58</v>
      </c>
      <c r="E918" s="17">
        <v>3000</v>
      </c>
      <c r="F918" s="13">
        <v>180</v>
      </c>
      <c r="G918" s="13">
        <v>368</v>
      </c>
      <c r="H918" s="19">
        <v>350000</v>
      </c>
      <c r="I918" s="19">
        <v>30000</v>
      </c>
      <c r="J918" s="20" t="s">
        <v>33</v>
      </c>
      <c r="K918" s="13">
        <v>72</v>
      </c>
      <c r="L918" s="18" t="s">
        <v>45</v>
      </c>
      <c r="M918" s="21" t="s">
        <v>39</v>
      </c>
      <c r="N918" s="16" t="s">
        <v>43</v>
      </c>
      <c r="O918" t="str">
        <f>IF(TRIM(J918)="","NULL",IFERROR(VLOOKUP(TRIM(J918),Lookup_PropertyType!$A:$B,2,FALSE()),"other"))</f>
        <v>apartment</v>
      </c>
      <c r="P918">
        <f t="shared" si="14"/>
        <v>0</v>
      </c>
    </row>
    <row r="919" spans="1:16" ht="15.75" customHeight="1" x14ac:dyDescent="0.35">
      <c r="A919" s="13">
        <v>918</v>
      </c>
      <c r="B919" s="14">
        <v>45949</v>
      </c>
      <c r="C919" s="15"/>
      <c r="D919" s="18" t="s">
        <v>32</v>
      </c>
      <c r="E919" s="17">
        <v>30000</v>
      </c>
      <c r="F919" s="13">
        <v>90</v>
      </c>
      <c r="G919" s="13">
        <v>392</v>
      </c>
      <c r="H919" s="19">
        <v>300000</v>
      </c>
      <c r="I919" s="19">
        <v>30000</v>
      </c>
      <c r="J919" s="20" t="s">
        <v>33</v>
      </c>
      <c r="K919" s="13">
        <v>56</v>
      </c>
      <c r="L919" s="18" t="s">
        <v>38</v>
      </c>
      <c r="M919" s="18" t="s">
        <v>48</v>
      </c>
      <c r="N919" s="16" t="s">
        <v>50</v>
      </c>
      <c r="O919" t="str">
        <f>IF(TRIM(J919)="","NULL",IFERROR(VLOOKUP(TRIM(J919),Lookup_PropertyType!$A:$B,2,FALSE()),"other"))</f>
        <v>apartment</v>
      </c>
      <c r="P919">
        <f t="shared" si="14"/>
        <v>0</v>
      </c>
    </row>
    <row r="920" spans="1:16" ht="15.75" customHeight="1" x14ac:dyDescent="0.35">
      <c r="A920" s="13">
        <v>919</v>
      </c>
      <c r="B920" s="14">
        <v>45956</v>
      </c>
      <c r="C920" s="14">
        <v>46069</v>
      </c>
      <c r="D920" s="18" t="s">
        <v>65</v>
      </c>
      <c r="E920" s="17">
        <v>16000</v>
      </c>
      <c r="F920" s="13">
        <v>150</v>
      </c>
      <c r="G920" s="13">
        <v>633</v>
      </c>
      <c r="H920" s="19">
        <v>350000</v>
      </c>
      <c r="I920" s="19">
        <v>90000</v>
      </c>
      <c r="J920" s="20" t="s">
        <v>37</v>
      </c>
      <c r="K920" s="13">
        <v>36</v>
      </c>
      <c r="L920" s="18" t="s">
        <v>38</v>
      </c>
      <c r="M920" s="18" t="s">
        <v>48</v>
      </c>
      <c r="N920" s="16" t="s">
        <v>40</v>
      </c>
      <c r="O920" t="str">
        <f>IF(TRIM(J920)="","NULL",IFERROR(VLOOKUP(TRIM(J920),Lookup_PropertyType!$A:$B,2,FALSE()),"other"))</f>
        <v>house</v>
      </c>
      <c r="P920">
        <f t="shared" si="14"/>
        <v>1</v>
      </c>
    </row>
    <row r="921" spans="1:16" ht="15.75" customHeight="1" x14ac:dyDescent="0.35">
      <c r="A921" s="13">
        <v>920</v>
      </c>
      <c r="B921" s="14">
        <v>45955</v>
      </c>
      <c r="C921" s="14">
        <v>45989</v>
      </c>
      <c r="D921" s="18" t="s">
        <v>32</v>
      </c>
      <c r="E921" s="17">
        <v>30000</v>
      </c>
      <c r="F921" s="13">
        <v>90</v>
      </c>
      <c r="G921" s="13">
        <v>884</v>
      </c>
      <c r="H921" s="19">
        <v>1500000</v>
      </c>
      <c r="I921" s="19">
        <v>180000</v>
      </c>
      <c r="J921" s="20" t="s">
        <v>33</v>
      </c>
      <c r="K921" s="13">
        <v>49</v>
      </c>
      <c r="L921" s="18" t="s">
        <v>38</v>
      </c>
      <c r="M921" s="21" t="s">
        <v>39</v>
      </c>
      <c r="N921" s="16" t="s">
        <v>40</v>
      </c>
      <c r="O921" t="str">
        <f>IF(TRIM(J921)="","NULL",IFERROR(VLOOKUP(TRIM(J921),Lookup_PropertyType!$A:$B,2,FALSE()),"other"))</f>
        <v>apartment</v>
      </c>
      <c r="P921">
        <f t="shared" si="14"/>
        <v>1</v>
      </c>
    </row>
    <row r="922" spans="1:16" ht="15.75" customHeight="1" x14ac:dyDescent="0.35">
      <c r="A922" s="13">
        <v>921</v>
      </c>
      <c r="B922" s="14">
        <v>45954</v>
      </c>
      <c r="C922" s="14">
        <v>46081</v>
      </c>
      <c r="D922" s="18" t="s">
        <v>58</v>
      </c>
      <c r="E922" s="17">
        <v>11000</v>
      </c>
      <c r="F922" s="13">
        <v>180</v>
      </c>
      <c r="G922" s="13">
        <v>650</v>
      </c>
      <c r="H922" s="19">
        <v>1000000</v>
      </c>
      <c r="I922" s="19">
        <v>350000</v>
      </c>
      <c r="J922" s="20" t="s">
        <v>37</v>
      </c>
      <c r="K922" s="13">
        <v>60</v>
      </c>
      <c r="L922" s="18" t="s">
        <v>38</v>
      </c>
      <c r="M922" s="18" t="s">
        <v>35</v>
      </c>
      <c r="N922" s="16" t="s">
        <v>36</v>
      </c>
      <c r="O922" t="str">
        <f>IF(TRIM(J922)="","NULL",IFERROR(VLOOKUP(TRIM(J922),Lookup_PropertyType!$A:$B,2,FALSE()),"other"))</f>
        <v>house</v>
      </c>
      <c r="P922">
        <f t="shared" si="14"/>
        <v>1</v>
      </c>
    </row>
    <row r="923" spans="1:16" ht="15.75" customHeight="1" x14ac:dyDescent="0.35">
      <c r="A923" s="13">
        <v>922</v>
      </c>
      <c r="B923" s="14">
        <v>45961</v>
      </c>
      <c r="C923" s="15"/>
      <c r="D923" s="18" t="s">
        <v>32</v>
      </c>
      <c r="E923" s="17">
        <v>6000</v>
      </c>
      <c r="F923" s="13">
        <v>180</v>
      </c>
      <c r="G923" s="13">
        <v>219</v>
      </c>
      <c r="H923" s="19">
        <v>280000</v>
      </c>
      <c r="I923" s="19">
        <v>40000</v>
      </c>
      <c r="J923" s="20" t="s">
        <v>33</v>
      </c>
      <c r="K923" s="13">
        <v>42</v>
      </c>
      <c r="L923" s="18" t="s">
        <v>38</v>
      </c>
      <c r="M923" s="21" t="s">
        <v>39</v>
      </c>
      <c r="N923" s="16" t="s">
        <v>50</v>
      </c>
      <c r="O923" t="str">
        <f>IF(TRIM(J923)="","NULL",IFERROR(VLOOKUP(TRIM(J923),Lookup_PropertyType!$A:$B,2,FALSE()),"other"))</f>
        <v>apartment</v>
      </c>
      <c r="P923">
        <f t="shared" si="14"/>
        <v>0</v>
      </c>
    </row>
    <row r="924" spans="1:16" ht="15.75" customHeight="1" x14ac:dyDescent="0.35">
      <c r="A924" s="13">
        <v>923</v>
      </c>
      <c r="B924" s="14">
        <v>45956</v>
      </c>
      <c r="C924" s="15"/>
      <c r="D924" s="18" t="s">
        <v>32</v>
      </c>
      <c r="E924" s="17">
        <v>3500</v>
      </c>
      <c r="F924" s="13">
        <v>180</v>
      </c>
      <c r="G924" s="13">
        <v>417</v>
      </c>
      <c r="H924" s="19">
        <v>200000</v>
      </c>
      <c r="I924" s="19">
        <v>60000</v>
      </c>
      <c r="J924" s="20" t="s">
        <v>37</v>
      </c>
      <c r="K924" s="13">
        <v>66</v>
      </c>
      <c r="L924" s="18" t="s">
        <v>38</v>
      </c>
      <c r="M924" s="21" t="s">
        <v>39</v>
      </c>
      <c r="N924" s="16" t="s">
        <v>43</v>
      </c>
      <c r="O924" t="str">
        <f>IF(TRIM(J924)="","NULL",IFERROR(VLOOKUP(TRIM(J924),Lookup_PropertyType!$A:$B,2,FALSE()),"other"))</f>
        <v>house</v>
      </c>
      <c r="P924">
        <f t="shared" si="14"/>
        <v>0</v>
      </c>
    </row>
    <row r="925" spans="1:16" ht="15.75" customHeight="1" x14ac:dyDescent="0.35">
      <c r="A925" s="13">
        <v>924</v>
      </c>
      <c r="B925" s="14">
        <v>45957</v>
      </c>
      <c r="C925" s="14">
        <v>45989</v>
      </c>
      <c r="D925" s="18" t="s">
        <v>32</v>
      </c>
      <c r="E925" s="17">
        <v>12000</v>
      </c>
      <c r="F925" s="13">
        <v>120</v>
      </c>
      <c r="G925" s="13">
        <v>953</v>
      </c>
      <c r="H925" s="19">
        <v>600000</v>
      </c>
      <c r="I925" s="19">
        <v>200000</v>
      </c>
      <c r="J925" s="20" t="s">
        <v>33</v>
      </c>
      <c r="K925" s="13">
        <v>56</v>
      </c>
      <c r="L925" s="18" t="s">
        <v>34</v>
      </c>
      <c r="M925" s="21" t="s">
        <v>54</v>
      </c>
      <c r="N925" s="16" t="s">
        <v>51</v>
      </c>
      <c r="O925" t="str">
        <f>IF(TRIM(J925)="","NULL",IFERROR(VLOOKUP(TRIM(J925),Lookup_PropertyType!$A:$B,2,FALSE()),"other"))</f>
        <v>apartment</v>
      </c>
      <c r="P925">
        <f t="shared" si="14"/>
        <v>1</v>
      </c>
    </row>
    <row r="926" spans="1:16" ht="15.75" customHeight="1" x14ac:dyDescent="0.35">
      <c r="A926" s="13">
        <v>925</v>
      </c>
      <c r="B926" s="14">
        <v>45964</v>
      </c>
      <c r="C926" s="15"/>
      <c r="D926" s="18" t="s">
        <v>32</v>
      </c>
      <c r="E926" s="17">
        <v>6000</v>
      </c>
      <c r="F926" s="13">
        <v>180</v>
      </c>
      <c r="G926" s="13">
        <v>294</v>
      </c>
      <c r="H926" s="19">
        <v>500000</v>
      </c>
      <c r="I926" s="19">
        <v>160000</v>
      </c>
      <c r="J926" s="20" t="s">
        <v>33</v>
      </c>
      <c r="K926" s="13">
        <v>59</v>
      </c>
      <c r="L926" s="18" t="s">
        <v>59</v>
      </c>
      <c r="M926" s="21" t="s">
        <v>39</v>
      </c>
      <c r="N926" s="16" t="s">
        <v>43</v>
      </c>
      <c r="O926" t="str">
        <f>IF(TRIM(J926)="","NULL",IFERROR(VLOOKUP(TRIM(J926),Lookup_PropertyType!$A:$B,2,FALSE()),"other"))</f>
        <v>apartment</v>
      </c>
      <c r="P926">
        <f t="shared" si="14"/>
        <v>0</v>
      </c>
    </row>
    <row r="927" spans="1:16" ht="15.75" customHeight="1" x14ac:dyDescent="0.35">
      <c r="A927" s="13">
        <v>926</v>
      </c>
      <c r="B927" s="14">
        <v>45950</v>
      </c>
      <c r="C927" s="15"/>
      <c r="D927" s="18" t="s">
        <v>46</v>
      </c>
      <c r="E927" s="17">
        <v>4800</v>
      </c>
      <c r="F927" s="13">
        <v>180</v>
      </c>
      <c r="G927" s="13">
        <v>290</v>
      </c>
      <c r="H927" s="19">
        <v>600000</v>
      </c>
      <c r="I927" s="19">
        <v>740837</v>
      </c>
      <c r="J927" s="20" t="s">
        <v>33</v>
      </c>
      <c r="K927" s="13">
        <v>38</v>
      </c>
      <c r="L927" s="18" t="s">
        <v>41</v>
      </c>
      <c r="M927" s="21" t="s">
        <v>54</v>
      </c>
      <c r="N927" s="16" t="s">
        <v>51</v>
      </c>
      <c r="O927" t="str">
        <f>IF(TRIM(J927)="","NULL",IFERROR(VLOOKUP(TRIM(J927),Lookup_PropertyType!$A:$B,2,FALSE()),"other"))</f>
        <v>apartment</v>
      </c>
      <c r="P927">
        <f t="shared" si="14"/>
        <v>0</v>
      </c>
    </row>
    <row r="928" spans="1:16" ht="15.75" customHeight="1" x14ac:dyDescent="0.35">
      <c r="A928" s="13">
        <v>927</v>
      </c>
      <c r="B928" s="14">
        <v>45955</v>
      </c>
      <c r="C928" s="15"/>
      <c r="D928" s="18" t="s">
        <v>32</v>
      </c>
      <c r="E928" s="17">
        <v>27500</v>
      </c>
      <c r="F928" s="13">
        <v>180</v>
      </c>
      <c r="G928" s="13">
        <v>1000</v>
      </c>
      <c r="H928" s="19">
        <v>1500000</v>
      </c>
      <c r="I928" s="19">
        <v>1798289</v>
      </c>
      <c r="J928" s="20" t="s">
        <v>33</v>
      </c>
      <c r="K928" s="13">
        <v>47</v>
      </c>
      <c r="L928" s="18" t="s">
        <v>59</v>
      </c>
      <c r="M928" s="21" t="s">
        <v>35</v>
      </c>
      <c r="N928" s="16" t="s">
        <v>36</v>
      </c>
      <c r="O928" t="str">
        <f>IF(TRIM(J928)="","NULL",IFERROR(VLOOKUP(TRIM(J928),Lookup_PropertyType!$A:$B,2,FALSE()),"other"))</f>
        <v>apartment</v>
      </c>
      <c r="P928">
        <f t="shared" si="14"/>
        <v>0</v>
      </c>
    </row>
    <row r="929" spans="1:16" ht="15.75" customHeight="1" x14ac:dyDescent="0.35">
      <c r="A929" s="13">
        <v>928</v>
      </c>
      <c r="B929" s="14">
        <v>45956</v>
      </c>
      <c r="C929" s="15"/>
      <c r="D929" s="18" t="s">
        <v>32</v>
      </c>
      <c r="E929" s="17">
        <v>20000</v>
      </c>
      <c r="F929" s="13">
        <v>180</v>
      </c>
      <c r="G929" s="13">
        <v>845</v>
      </c>
      <c r="H929" s="19">
        <v>600000</v>
      </c>
      <c r="I929" s="19">
        <v>200000</v>
      </c>
      <c r="J929" s="20" t="s">
        <v>33</v>
      </c>
      <c r="K929" s="13">
        <v>57</v>
      </c>
      <c r="L929" s="18" t="s">
        <v>38</v>
      </c>
      <c r="M929" s="21" t="s">
        <v>39</v>
      </c>
      <c r="N929" s="16" t="s">
        <v>36</v>
      </c>
      <c r="O929" t="str">
        <f>IF(TRIM(J929)="","NULL",IFERROR(VLOOKUP(TRIM(J929),Lookup_PropertyType!$A:$B,2,FALSE()),"other"))</f>
        <v>apartment</v>
      </c>
      <c r="P929">
        <f t="shared" si="14"/>
        <v>0</v>
      </c>
    </row>
    <row r="930" spans="1:16" ht="15.75" customHeight="1" x14ac:dyDescent="0.35">
      <c r="A930" s="13">
        <v>929</v>
      </c>
      <c r="B930" s="14">
        <v>46076</v>
      </c>
      <c r="C930" s="15"/>
      <c r="D930" s="18" t="s">
        <v>32</v>
      </c>
      <c r="E930" s="17">
        <v>7000</v>
      </c>
      <c r="F930" s="13">
        <v>180</v>
      </c>
      <c r="G930" s="13">
        <v>837</v>
      </c>
      <c r="H930" s="19">
        <v>420000</v>
      </c>
      <c r="I930" s="19">
        <v>300000</v>
      </c>
      <c r="J930" s="20" t="s">
        <v>33</v>
      </c>
      <c r="K930" s="13">
        <v>50</v>
      </c>
      <c r="L930" s="18" t="s">
        <v>45</v>
      </c>
      <c r="M930" s="18" t="s">
        <v>39</v>
      </c>
      <c r="N930" s="16" t="s">
        <v>40</v>
      </c>
      <c r="O930" t="str">
        <f>IF(TRIM(J930)="","NULL",IFERROR(VLOOKUP(TRIM(J930),Lookup_PropertyType!$A:$B,2,FALSE()),"other"))</f>
        <v>apartment</v>
      </c>
      <c r="P930">
        <f t="shared" si="14"/>
        <v>0</v>
      </c>
    </row>
    <row r="931" spans="1:16" ht="15.75" customHeight="1" x14ac:dyDescent="0.35">
      <c r="A931" s="13">
        <v>930</v>
      </c>
      <c r="B931" s="14">
        <v>45960</v>
      </c>
      <c r="C931" s="15"/>
      <c r="D931" s="18" t="s">
        <v>49</v>
      </c>
      <c r="E931" s="17">
        <v>5000</v>
      </c>
      <c r="F931" s="13">
        <v>120</v>
      </c>
      <c r="G931" s="13">
        <v>704</v>
      </c>
      <c r="H931" s="19">
        <v>350000</v>
      </c>
      <c r="I931" s="19">
        <v>150000</v>
      </c>
      <c r="J931" s="20" t="s">
        <v>37</v>
      </c>
      <c r="K931" s="13">
        <v>45</v>
      </c>
      <c r="L931" s="18" t="s">
        <v>45</v>
      </c>
      <c r="M931" s="18" t="s">
        <v>72</v>
      </c>
      <c r="N931" s="16" t="s">
        <v>48</v>
      </c>
      <c r="O931" t="str">
        <f>IF(TRIM(J931)="","NULL",IFERROR(VLOOKUP(TRIM(J931),Lookup_PropertyType!$A:$B,2,FALSE()),"other"))</f>
        <v>house</v>
      </c>
      <c r="P931">
        <f t="shared" si="14"/>
        <v>0</v>
      </c>
    </row>
    <row r="932" spans="1:16" ht="15.75" customHeight="1" x14ac:dyDescent="0.35">
      <c r="A932" s="13">
        <v>931</v>
      </c>
      <c r="B932" s="14">
        <v>45967</v>
      </c>
      <c r="C932" s="14">
        <v>46012</v>
      </c>
      <c r="D932" s="18" t="s">
        <v>32</v>
      </c>
      <c r="E932" s="17">
        <v>40000</v>
      </c>
      <c r="F932" s="13">
        <v>120</v>
      </c>
      <c r="G932" s="13">
        <v>543</v>
      </c>
      <c r="H932" s="19">
        <v>1200000</v>
      </c>
      <c r="I932" s="19">
        <v>500000</v>
      </c>
      <c r="J932" s="20" t="s">
        <v>53</v>
      </c>
      <c r="K932" s="13">
        <v>62</v>
      </c>
      <c r="L932" s="18" t="s">
        <v>38</v>
      </c>
      <c r="M932" s="21" t="s">
        <v>39</v>
      </c>
      <c r="N932" s="16" t="s">
        <v>36</v>
      </c>
      <c r="O932" t="str">
        <f>IF(TRIM(J932)="","NULL",IFERROR(VLOOKUP(TRIM(J932),Lookup_PropertyType!$A:$B,2,FALSE()),"other"))</f>
        <v>other</v>
      </c>
      <c r="P932">
        <f t="shared" si="14"/>
        <v>1</v>
      </c>
    </row>
    <row r="933" spans="1:16" ht="15.75" customHeight="1" x14ac:dyDescent="0.35">
      <c r="A933" s="13">
        <v>932</v>
      </c>
      <c r="B933" s="14">
        <v>45955</v>
      </c>
      <c r="C933" s="15"/>
      <c r="D933" s="18" t="s">
        <v>49</v>
      </c>
      <c r="E933" s="17">
        <v>8500</v>
      </c>
      <c r="F933" s="13">
        <v>90</v>
      </c>
      <c r="G933" s="13">
        <v>974</v>
      </c>
      <c r="H933" s="19">
        <v>600000</v>
      </c>
      <c r="I933" s="19">
        <v>170000</v>
      </c>
      <c r="J933" s="20" t="s">
        <v>60</v>
      </c>
      <c r="K933" s="13">
        <v>51</v>
      </c>
      <c r="L933" s="18" t="s">
        <v>38</v>
      </c>
      <c r="M933" s="21" t="s">
        <v>48</v>
      </c>
      <c r="N933" s="16" t="s">
        <v>50</v>
      </c>
      <c r="O933" t="str">
        <f>IF(TRIM(J933)="","NULL",IFERROR(VLOOKUP(TRIM(J933),Lookup_PropertyType!$A:$B,2,FALSE()),"other"))</f>
        <v>other</v>
      </c>
      <c r="P933">
        <f t="shared" si="14"/>
        <v>0</v>
      </c>
    </row>
    <row r="934" spans="1:16" ht="15.75" customHeight="1" x14ac:dyDescent="0.35">
      <c r="A934" s="13">
        <v>933</v>
      </c>
      <c r="B934" s="14">
        <v>45953</v>
      </c>
      <c r="C934" s="14">
        <v>45991</v>
      </c>
      <c r="D934" s="18" t="s">
        <v>32</v>
      </c>
      <c r="E934" s="17">
        <v>3600</v>
      </c>
      <c r="F934" s="13">
        <v>180</v>
      </c>
      <c r="G934" s="13">
        <v>906</v>
      </c>
      <c r="H934" s="19">
        <v>380000</v>
      </c>
      <c r="I934" s="19">
        <v>50000</v>
      </c>
      <c r="J934" s="20" t="s">
        <v>37</v>
      </c>
      <c r="K934" s="13">
        <v>64</v>
      </c>
      <c r="L934" s="18" t="s">
        <v>38</v>
      </c>
      <c r="M934" s="21" t="s">
        <v>39</v>
      </c>
      <c r="N934" s="16" t="s">
        <v>43</v>
      </c>
      <c r="O934" t="str">
        <f>IF(TRIM(J934)="","NULL",IFERROR(VLOOKUP(TRIM(J934),Lookup_PropertyType!$A:$B,2,FALSE()),"other"))</f>
        <v>house</v>
      </c>
      <c r="P934">
        <f t="shared" si="14"/>
        <v>1</v>
      </c>
    </row>
    <row r="935" spans="1:16" ht="15.75" customHeight="1" x14ac:dyDescent="0.35">
      <c r="A935" s="13">
        <v>934</v>
      </c>
      <c r="B935" s="14">
        <v>45974</v>
      </c>
      <c r="C935" s="15"/>
      <c r="D935" s="18" t="s">
        <v>32</v>
      </c>
      <c r="E935" s="17">
        <v>4500</v>
      </c>
      <c r="F935" s="13">
        <v>180</v>
      </c>
      <c r="G935" s="13">
        <v>204</v>
      </c>
      <c r="H935" s="19">
        <v>250000</v>
      </c>
      <c r="I935" s="19">
        <v>70000</v>
      </c>
      <c r="J935" s="20" t="s">
        <v>37</v>
      </c>
      <c r="K935" s="13">
        <v>32</v>
      </c>
      <c r="L935" s="18" t="s">
        <v>38</v>
      </c>
      <c r="M935" s="21" t="s">
        <v>39</v>
      </c>
      <c r="N935" s="16" t="s">
        <v>42</v>
      </c>
      <c r="O935" t="str">
        <f>IF(TRIM(J935)="","NULL",IFERROR(VLOOKUP(TRIM(J935),Lookup_PropertyType!$A:$B,2,FALSE()),"other"))</f>
        <v>house</v>
      </c>
      <c r="P935">
        <f t="shared" si="14"/>
        <v>0</v>
      </c>
    </row>
    <row r="936" spans="1:16" ht="15.75" customHeight="1" x14ac:dyDescent="0.35">
      <c r="A936" s="13">
        <v>935</v>
      </c>
      <c r="B936" s="14">
        <v>45955</v>
      </c>
      <c r="C936" s="15"/>
      <c r="D936" s="18" t="s">
        <v>49</v>
      </c>
      <c r="E936" s="17">
        <v>9000</v>
      </c>
      <c r="F936" s="13">
        <v>150</v>
      </c>
      <c r="G936" s="13">
        <v>453</v>
      </c>
      <c r="H936" s="19">
        <v>375000</v>
      </c>
      <c r="I936" s="19">
        <v>30000</v>
      </c>
      <c r="J936" s="20" t="s">
        <v>33</v>
      </c>
      <c r="K936" s="13">
        <v>49</v>
      </c>
      <c r="L936" s="18" t="s">
        <v>38</v>
      </c>
      <c r="M936" s="21" t="s">
        <v>54</v>
      </c>
      <c r="N936" s="16" t="s">
        <v>50</v>
      </c>
      <c r="O936" t="str">
        <f>IF(TRIM(J936)="","NULL",IFERROR(VLOOKUP(TRIM(J936),Lookup_PropertyType!$A:$B,2,FALSE()),"other"))</f>
        <v>apartment</v>
      </c>
      <c r="P936">
        <f t="shared" si="14"/>
        <v>0</v>
      </c>
    </row>
    <row r="937" spans="1:16" ht="15.75" customHeight="1" x14ac:dyDescent="0.35">
      <c r="A937" s="13">
        <v>936</v>
      </c>
      <c r="B937" s="14">
        <v>45955</v>
      </c>
      <c r="C937" s="14">
        <v>46034</v>
      </c>
      <c r="D937" s="18" t="s">
        <v>32</v>
      </c>
      <c r="E937" s="17">
        <v>7000</v>
      </c>
      <c r="F937" s="13">
        <v>180</v>
      </c>
      <c r="G937" s="13">
        <v>540</v>
      </c>
      <c r="H937" s="19">
        <v>400000</v>
      </c>
      <c r="I937" s="19">
        <v>200000</v>
      </c>
      <c r="J937" s="20" t="s">
        <v>37</v>
      </c>
      <c r="K937" s="13">
        <v>42</v>
      </c>
      <c r="L937" s="18" t="s">
        <v>38</v>
      </c>
      <c r="M937" s="18" t="s">
        <v>35</v>
      </c>
      <c r="N937" s="16" t="s">
        <v>42</v>
      </c>
      <c r="O937" t="str">
        <f>IF(TRIM(J937)="","NULL",IFERROR(VLOOKUP(TRIM(J937),Lookup_PropertyType!$A:$B,2,FALSE()),"other"))</f>
        <v>house</v>
      </c>
      <c r="P937">
        <f t="shared" si="14"/>
        <v>1</v>
      </c>
    </row>
    <row r="938" spans="1:16" ht="15.75" customHeight="1" x14ac:dyDescent="0.35">
      <c r="A938" s="13">
        <v>937</v>
      </c>
      <c r="B938" s="14">
        <v>45964</v>
      </c>
      <c r="C938" s="15"/>
      <c r="D938" s="18" t="s">
        <v>58</v>
      </c>
      <c r="E938" s="17">
        <v>4500</v>
      </c>
      <c r="F938" s="13">
        <v>180</v>
      </c>
      <c r="G938" s="13">
        <v>540</v>
      </c>
      <c r="H938" s="19">
        <v>250000</v>
      </c>
      <c r="I938" s="19">
        <v>80000</v>
      </c>
      <c r="J938" s="20" t="s">
        <v>79</v>
      </c>
      <c r="K938" s="13">
        <v>51</v>
      </c>
      <c r="L938" s="18" t="s">
        <v>59</v>
      </c>
      <c r="M938" s="21" t="s">
        <v>39</v>
      </c>
      <c r="N938" s="16" t="s">
        <v>43</v>
      </c>
      <c r="O938" t="str">
        <f>IF(TRIM(J938)="","NULL",IFERROR(VLOOKUP(TRIM(J938),Lookup_PropertyType!$A:$B,2,FALSE()),"other"))</f>
        <v>house</v>
      </c>
      <c r="P938">
        <f t="shared" si="14"/>
        <v>0</v>
      </c>
    </row>
    <row r="939" spans="1:16" ht="15.75" customHeight="1" x14ac:dyDescent="0.35">
      <c r="A939" s="13">
        <v>938</v>
      </c>
      <c r="B939" s="14">
        <v>45974</v>
      </c>
      <c r="C939" s="15"/>
      <c r="D939" s="18" t="s">
        <v>32</v>
      </c>
      <c r="E939" s="17">
        <v>7000</v>
      </c>
      <c r="F939" s="13">
        <v>180</v>
      </c>
      <c r="G939" s="13">
        <v>768</v>
      </c>
      <c r="H939" s="19">
        <v>350000</v>
      </c>
      <c r="I939" s="19">
        <v>30000</v>
      </c>
      <c r="J939" s="20" t="s">
        <v>33</v>
      </c>
      <c r="K939" s="13">
        <v>50</v>
      </c>
      <c r="L939" s="18" t="s">
        <v>38</v>
      </c>
      <c r="M939" s="18" t="s">
        <v>39</v>
      </c>
      <c r="N939" s="16" t="s">
        <v>36</v>
      </c>
      <c r="O939" t="str">
        <f>IF(TRIM(J939)="","NULL",IFERROR(VLOOKUP(TRIM(J939),Lookup_PropertyType!$A:$B,2,FALSE()),"other"))</f>
        <v>apartment</v>
      </c>
      <c r="P939">
        <f t="shared" si="14"/>
        <v>0</v>
      </c>
    </row>
    <row r="940" spans="1:16" ht="15.75" customHeight="1" x14ac:dyDescent="0.35">
      <c r="A940" s="13">
        <v>939</v>
      </c>
      <c r="B940" s="14">
        <v>45955</v>
      </c>
      <c r="C940" s="15"/>
      <c r="D940" s="18" t="s">
        <v>55</v>
      </c>
      <c r="E940" s="17">
        <v>12000</v>
      </c>
      <c r="F940" s="13">
        <v>180</v>
      </c>
      <c r="G940" s="13">
        <v>787</v>
      </c>
      <c r="H940" s="19">
        <v>350000</v>
      </c>
      <c r="I940" s="19">
        <v>30000</v>
      </c>
      <c r="J940" s="20" t="s">
        <v>37</v>
      </c>
      <c r="K940" s="13">
        <v>43</v>
      </c>
      <c r="L940" s="18" t="s">
        <v>38</v>
      </c>
      <c r="M940" s="21" t="s">
        <v>54</v>
      </c>
      <c r="N940" s="16" t="s">
        <v>42</v>
      </c>
      <c r="O940" t="str">
        <f>IF(TRIM(J940)="","NULL",IFERROR(VLOOKUP(TRIM(J940),Lookup_PropertyType!$A:$B,2,FALSE()),"other"))</f>
        <v>house</v>
      </c>
      <c r="P940">
        <f t="shared" si="14"/>
        <v>0</v>
      </c>
    </row>
    <row r="941" spans="1:16" ht="15.75" customHeight="1" x14ac:dyDescent="0.35">
      <c r="A941" s="13">
        <v>940</v>
      </c>
      <c r="B941" s="14">
        <v>45978</v>
      </c>
      <c r="C941" s="15"/>
      <c r="D941" s="18" t="s">
        <v>32</v>
      </c>
      <c r="E941" s="17">
        <v>10000</v>
      </c>
      <c r="F941" s="13">
        <v>90</v>
      </c>
      <c r="G941" s="13">
        <v>362</v>
      </c>
      <c r="H941" s="19">
        <v>350000</v>
      </c>
      <c r="I941" s="19">
        <v>100000</v>
      </c>
      <c r="J941" s="20" t="s">
        <v>33</v>
      </c>
      <c r="K941" s="13">
        <v>36</v>
      </c>
      <c r="L941" s="18" t="s">
        <v>41</v>
      </c>
      <c r="M941" s="18" t="s">
        <v>39</v>
      </c>
      <c r="N941" s="16" t="s">
        <v>42</v>
      </c>
      <c r="O941" t="str">
        <f>IF(TRIM(J941)="","NULL",IFERROR(VLOOKUP(TRIM(J941),Lookup_PropertyType!$A:$B,2,FALSE()),"other"))</f>
        <v>apartment</v>
      </c>
      <c r="P941">
        <f t="shared" si="14"/>
        <v>0</v>
      </c>
    </row>
    <row r="942" spans="1:16" ht="15.75" customHeight="1" x14ac:dyDescent="0.35">
      <c r="A942" s="13">
        <v>941</v>
      </c>
      <c r="B942" s="14">
        <v>45955</v>
      </c>
      <c r="C942" s="15"/>
      <c r="D942" s="18" t="s">
        <v>32</v>
      </c>
      <c r="E942" s="17">
        <v>10500</v>
      </c>
      <c r="F942" s="13">
        <v>180</v>
      </c>
      <c r="G942" s="13">
        <v>847</v>
      </c>
      <c r="H942" s="19">
        <v>800000</v>
      </c>
      <c r="I942" s="19">
        <v>200000</v>
      </c>
      <c r="J942" s="20" t="s">
        <v>37</v>
      </c>
      <c r="K942" s="13">
        <v>46</v>
      </c>
      <c r="L942" s="18" t="s">
        <v>41</v>
      </c>
      <c r="M942" s="18" t="s">
        <v>72</v>
      </c>
      <c r="N942" s="16" t="s">
        <v>50</v>
      </c>
      <c r="O942" t="str">
        <f>IF(TRIM(J942)="","NULL",IFERROR(VLOOKUP(TRIM(J942),Lookup_PropertyType!$A:$B,2,FALSE()),"other"))</f>
        <v>house</v>
      </c>
      <c r="P942">
        <f t="shared" si="14"/>
        <v>0</v>
      </c>
    </row>
    <row r="943" spans="1:16" ht="15.75" customHeight="1" x14ac:dyDescent="0.35">
      <c r="A943" s="13">
        <v>942</v>
      </c>
      <c r="B943" s="14">
        <v>45955</v>
      </c>
      <c r="C943" s="15"/>
      <c r="D943" s="18" t="s">
        <v>58</v>
      </c>
      <c r="E943" s="17">
        <v>34737.919999999998</v>
      </c>
      <c r="F943" s="13">
        <v>180</v>
      </c>
      <c r="G943" s="13">
        <v>896</v>
      </c>
      <c r="H943" s="19">
        <v>1400000</v>
      </c>
      <c r="I943" s="19">
        <v>400000</v>
      </c>
      <c r="J943" s="20" t="s">
        <v>33</v>
      </c>
      <c r="K943" s="13">
        <v>57</v>
      </c>
      <c r="L943" s="18" t="s">
        <v>41</v>
      </c>
      <c r="M943" s="21" t="s">
        <v>39</v>
      </c>
      <c r="N943" s="16" t="s">
        <v>42</v>
      </c>
      <c r="O943" t="str">
        <f>IF(TRIM(J943)="","NULL",IFERROR(VLOOKUP(TRIM(J943),Lookup_PropertyType!$A:$B,2,FALSE()),"other"))</f>
        <v>apartment</v>
      </c>
      <c r="P943">
        <f t="shared" si="14"/>
        <v>0</v>
      </c>
    </row>
    <row r="944" spans="1:16" ht="15.75" customHeight="1" x14ac:dyDescent="0.35">
      <c r="A944" s="13">
        <v>943</v>
      </c>
      <c r="B944" s="14">
        <v>45957</v>
      </c>
      <c r="C944" s="15"/>
      <c r="D944" s="18" t="s">
        <v>32</v>
      </c>
      <c r="E944" s="17">
        <v>8000</v>
      </c>
      <c r="F944" s="13">
        <v>180</v>
      </c>
      <c r="G944" s="13">
        <v>477</v>
      </c>
      <c r="H944" s="19">
        <v>286000</v>
      </c>
      <c r="I944" s="19">
        <v>100000</v>
      </c>
      <c r="J944" s="20" t="s">
        <v>33</v>
      </c>
      <c r="K944" s="13">
        <v>56</v>
      </c>
      <c r="L944" s="18" t="s">
        <v>41</v>
      </c>
      <c r="M944" s="21" t="s">
        <v>54</v>
      </c>
      <c r="N944" s="16" t="s">
        <v>36</v>
      </c>
      <c r="O944" t="str">
        <f>IF(TRIM(J944)="","NULL",IFERROR(VLOOKUP(TRIM(J944),Lookup_PropertyType!$A:$B,2,FALSE()),"other"))</f>
        <v>apartment</v>
      </c>
      <c r="P944">
        <f t="shared" si="14"/>
        <v>0</v>
      </c>
    </row>
    <row r="945" spans="1:16" ht="15.75" customHeight="1" x14ac:dyDescent="0.35">
      <c r="A945" s="13">
        <v>944</v>
      </c>
      <c r="B945" s="14">
        <v>45956</v>
      </c>
      <c r="C945" s="15"/>
      <c r="D945" s="18" t="s">
        <v>49</v>
      </c>
      <c r="E945" s="17">
        <v>15000</v>
      </c>
      <c r="F945" s="13">
        <v>180</v>
      </c>
      <c r="G945" s="13">
        <v>351</v>
      </c>
      <c r="H945" s="19">
        <v>450000</v>
      </c>
      <c r="I945" s="19">
        <v>200000</v>
      </c>
      <c r="J945" s="20" t="s">
        <v>37</v>
      </c>
      <c r="K945" s="13">
        <v>65</v>
      </c>
      <c r="L945" s="18" t="s">
        <v>64</v>
      </c>
      <c r="M945" s="21" t="s">
        <v>39</v>
      </c>
      <c r="N945" s="16" t="s">
        <v>36</v>
      </c>
      <c r="O945" t="str">
        <f>IF(TRIM(J945)="","NULL",IFERROR(VLOOKUP(TRIM(J945),Lookup_PropertyType!$A:$B,2,FALSE()),"other"))</f>
        <v>house</v>
      </c>
      <c r="P945">
        <f t="shared" si="14"/>
        <v>0</v>
      </c>
    </row>
    <row r="946" spans="1:16" ht="15.75" customHeight="1" x14ac:dyDescent="0.35">
      <c r="A946" s="13">
        <v>945</v>
      </c>
      <c r="B946" s="14">
        <v>45970</v>
      </c>
      <c r="C946" s="15"/>
      <c r="D946" s="18"/>
      <c r="E946" s="17">
        <v>50000</v>
      </c>
      <c r="F946" s="13">
        <v>180</v>
      </c>
      <c r="G946" s="13">
        <v>967</v>
      </c>
      <c r="H946" s="19">
        <v>1850000</v>
      </c>
      <c r="I946" s="19">
        <v>1000000</v>
      </c>
      <c r="J946" s="20" t="s">
        <v>33</v>
      </c>
      <c r="K946" s="13">
        <v>43</v>
      </c>
      <c r="L946" s="18" t="s">
        <v>34</v>
      </c>
      <c r="M946" s="18" t="s">
        <v>39</v>
      </c>
      <c r="N946" s="16" t="s">
        <v>42</v>
      </c>
      <c r="O946" t="str">
        <f>IF(TRIM(J946)="","NULL",IFERROR(VLOOKUP(TRIM(J946),Lookup_PropertyType!$A:$B,2,FALSE()),"other"))</f>
        <v>apartment</v>
      </c>
      <c r="P946">
        <f t="shared" si="14"/>
        <v>0</v>
      </c>
    </row>
    <row r="947" spans="1:16" ht="15.75" customHeight="1" x14ac:dyDescent="0.35">
      <c r="A947" s="13">
        <v>946</v>
      </c>
      <c r="B947" s="14">
        <v>45957</v>
      </c>
      <c r="C947" s="15"/>
      <c r="D947" s="18" t="s">
        <v>32</v>
      </c>
      <c r="E947" s="17">
        <v>11000</v>
      </c>
      <c r="F947" s="13">
        <v>180</v>
      </c>
      <c r="G947" s="13">
        <v>374</v>
      </c>
      <c r="H947" s="19">
        <v>900000</v>
      </c>
      <c r="I947" s="19">
        <v>200000</v>
      </c>
      <c r="J947" s="20" t="s">
        <v>33</v>
      </c>
      <c r="K947" s="13">
        <v>62</v>
      </c>
      <c r="L947" s="18" t="s">
        <v>34</v>
      </c>
      <c r="M947" s="21" t="s">
        <v>54</v>
      </c>
      <c r="N947" s="16" t="s">
        <v>43</v>
      </c>
      <c r="O947" t="str">
        <f>IF(TRIM(J947)="","NULL",IFERROR(VLOOKUP(TRIM(J947),Lookup_PropertyType!$A:$B,2,FALSE()),"other"))</f>
        <v>apartment</v>
      </c>
      <c r="P947">
        <f t="shared" si="14"/>
        <v>0</v>
      </c>
    </row>
    <row r="948" spans="1:16" ht="15.75" customHeight="1" x14ac:dyDescent="0.35">
      <c r="A948" s="13">
        <v>947</v>
      </c>
      <c r="B948" s="14">
        <v>45985</v>
      </c>
      <c r="C948" s="15"/>
      <c r="D948" s="18" t="s">
        <v>32</v>
      </c>
      <c r="E948" s="17">
        <v>12000</v>
      </c>
      <c r="F948" s="13">
        <v>180</v>
      </c>
      <c r="G948" s="13">
        <v>877</v>
      </c>
      <c r="H948" s="19">
        <v>420000</v>
      </c>
      <c r="I948" s="19">
        <v>140000</v>
      </c>
      <c r="J948" s="20" t="s">
        <v>37</v>
      </c>
      <c r="K948" s="13">
        <v>36</v>
      </c>
      <c r="L948" s="18" t="s">
        <v>64</v>
      </c>
      <c r="M948" s="21" t="s">
        <v>39</v>
      </c>
      <c r="N948" s="16" t="s">
        <v>42</v>
      </c>
      <c r="O948" t="str">
        <f>IF(TRIM(J948)="","NULL",IFERROR(VLOOKUP(TRIM(J948),Lookup_PropertyType!$A:$B,2,FALSE()),"other"))</f>
        <v>house</v>
      </c>
      <c r="P948">
        <f t="shared" si="14"/>
        <v>0</v>
      </c>
    </row>
    <row r="949" spans="1:16" ht="15.75" customHeight="1" x14ac:dyDescent="0.35">
      <c r="A949" s="13">
        <v>948</v>
      </c>
      <c r="B949" s="14">
        <v>45968</v>
      </c>
      <c r="C949" s="15"/>
      <c r="D949" s="18" t="s">
        <v>32</v>
      </c>
      <c r="E949" s="17">
        <v>20000</v>
      </c>
      <c r="F949" s="13">
        <v>180</v>
      </c>
      <c r="G949" s="13">
        <v>468</v>
      </c>
      <c r="H949" s="19">
        <v>400000</v>
      </c>
      <c r="I949" s="19">
        <v>130000</v>
      </c>
      <c r="J949" s="20" t="s">
        <v>37</v>
      </c>
      <c r="K949" s="13">
        <v>47</v>
      </c>
      <c r="L949" s="18" t="s">
        <v>64</v>
      </c>
      <c r="M949" s="21" t="s">
        <v>39</v>
      </c>
      <c r="N949" s="16" t="s">
        <v>36</v>
      </c>
      <c r="O949" t="str">
        <f>IF(TRIM(J949)="","NULL",IFERROR(VLOOKUP(TRIM(J949),Lookup_PropertyType!$A:$B,2,FALSE()),"other"))</f>
        <v>house</v>
      </c>
      <c r="P949">
        <f t="shared" si="14"/>
        <v>0</v>
      </c>
    </row>
    <row r="950" spans="1:16" ht="15.75" customHeight="1" x14ac:dyDescent="0.35">
      <c r="A950" s="13">
        <v>949</v>
      </c>
      <c r="B950" s="14">
        <v>45983</v>
      </c>
      <c r="C950" s="15"/>
      <c r="D950" s="18" t="s">
        <v>44</v>
      </c>
      <c r="E950" s="17">
        <v>43000</v>
      </c>
      <c r="F950" s="13">
        <v>180</v>
      </c>
      <c r="G950" s="13">
        <v>837</v>
      </c>
      <c r="H950" s="19">
        <v>300000</v>
      </c>
      <c r="I950" s="19">
        <v>300000</v>
      </c>
      <c r="J950" s="20" t="s">
        <v>33</v>
      </c>
      <c r="K950" s="13">
        <v>56</v>
      </c>
      <c r="L950" s="18" t="s">
        <v>41</v>
      </c>
      <c r="M950" s="18" t="s">
        <v>35</v>
      </c>
      <c r="N950" s="16" t="s">
        <v>48</v>
      </c>
      <c r="O950" t="str">
        <f>IF(TRIM(J950)="","NULL",IFERROR(VLOOKUP(TRIM(J950),Lookup_PropertyType!$A:$B,2,FALSE()),"other"))</f>
        <v>apartment</v>
      </c>
      <c r="P950">
        <f t="shared" si="14"/>
        <v>0</v>
      </c>
    </row>
    <row r="951" spans="1:16" ht="15.75" customHeight="1" x14ac:dyDescent="0.35">
      <c r="A951" s="13">
        <v>950</v>
      </c>
      <c r="B951" s="14">
        <v>46003</v>
      </c>
      <c r="C951" s="15"/>
      <c r="D951" s="18" t="s">
        <v>32</v>
      </c>
      <c r="E951" s="17">
        <v>8000</v>
      </c>
      <c r="F951" s="13">
        <v>120</v>
      </c>
      <c r="G951" s="13">
        <v>568</v>
      </c>
      <c r="H951" s="19">
        <v>340000</v>
      </c>
      <c r="I951" s="19">
        <v>30000</v>
      </c>
      <c r="J951" s="20" t="s">
        <v>33</v>
      </c>
      <c r="K951" s="13">
        <v>32</v>
      </c>
      <c r="L951" s="18" t="s">
        <v>59</v>
      </c>
      <c r="M951" s="21" t="s">
        <v>35</v>
      </c>
      <c r="N951" s="16" t="s">
        <v>36</v>
      </c>
      <c r="O951" t="str">
        <f>IF(TRIM(J951)="","NULL",IFERROR(VLOOKUP(TRIM(J951),Lookup_PropertyType!$A:$B,2,FALSE()),"other"))</f>
        <v>apartment</v>
      </c>
      <c r="P951">
        <f t="shared" si="14"/>
        <v>0</v>
      </c>
    </row>
    <row r="952" spans="1:16" ht="15.75" customHeight="1" x14ac:dyDescent="0.35">
      <c r="A952" s="13">
        <v>951</v>
      </c>
      <c r="B952" s="14">
        <v>45960</v>
      </c>
      <c r="C952" s="15"/>
      <c r="D952" s="18" t="s">
        <v>32</v>
      </c>
      <c r="E952" s="17">
        <v>5200</v>
      </c>
      <c r="F952" s="13">
        <v>120</v>
      </c>
      <c r="G952" s="13">
        <v>530</v>
      </c>
      <c r="H952" s="19">
        <v>230000</v>
      </c>
      <c r="I952" s="19">
        <v>100000</v>
      </c>
      <c r="J952" s="20" t="s">
        <v>33</v>
      </c>
      <c r="K952" s="13">
        <v>36</v>
      </c>
      <c r="L952" s="18" t="s">
        <v>64</v>
      </c>
      <c r="M952" s="21" t="s">
        <v>39</v>
      </c>
      <c r="N952" s="16" t="s">
        <v>43</v>
      </c>
      <c r="O952" t="str">
        <f>IF(TRIM(J952)="","NULL",IFERROR(VLOOKUP(TRIM(J952),Lookup_PropertyType!$A:$B,2,FALSE()),"other"))</f>
        <v>apartment</v>
      </c>
      <c r="P952">
        <f t="shared" si="14"/>
        <v>0</v>
      </c>
    </row>
    <row r="953" spans="1:16" ht="15.75" customHeight="1" x14ac:dyDescent="0.35">
      <c r="A953" s="13">
        <v>952</v>
      </c>
      <c r="B953" s="14">
        <v>46109</v>
      </c>
      <c r="C953" s="15"/>
      <c r="D953" s="18" t="s">
        <v>49</v>
      </c>
      <c r="E953" s="17">
        <v>11000</v>
      </c>
      <c r="F953" s="13">
        <v>180</v>
      </c>
      <c r="G953" s="13">
        <v>404</v>
      </c>
      <c r="H953" s="19">
        <v>400000</v>
      </c>
      <c r="I953" s="19">
        <v>150000</v>
      </c>
      <c r="J953" s="20" t="s">
        <v>33</v>
      </c>
      <c r="K953" s="13">
        <v>43</v>
      </c>
      <c r="L953" s="18" t="s">
        <v>59</v>
      </c>
      <c r="M953" s="18" t="s">
        <v>72</v>
      </c>
      <c r="N953" s="16" t="s">
        <v>42</v>
      </c>
      <c r="O953" t="str">
        <f>IF(TRIM(J953)="","NULL",IFERROR(VLOOKUP(TRIM(J953),Lookup_PropertyType!$A:$B,2,FALSE()),"other"))</f>
        <v>apartment</v>
      </c>
      <c r="P953">
        <f t="shared" si="14"/>
        <v>0</v>
      </c>
    </row>
    <row r="954" spans="1:16" ht="15.75" customHeight="1" x14ac:dyDescent="0.35">
      <c r="A954" s="13">
        <v>953</v>
      </c>
      <c r="B954" s="14">
        <v>45967</v>
      </c>
      <c r="C954" s="15"/>
      <c r="D954" s="18" t="s">
        <v>32</v>
      </c>
      <c r="E954" s="17">
        <v>10000</v>
      </c>
      <c r="F954" s="13">
        <v>150</v>
      </c>
      <c r="G954" s="13">
        <v>394</v>
      </c>
      <c r="H954" s="19">
        <v>1000000</v>
      </c>
      <c r="I954" s="19">
        <v>550000</v>
      </c>
      <c r="J954" s="20" t="s">
        <v>33</v>
      </c>
      <c r="K954" s="13">
        <v>37</v>
      </c>
      <c r="L954" s="18" t="s">
        <v>38</v>
      </c>
      <c r="M954" s="18" t="s">
        <v>35</v>
      </c>
      <c r="N954" s="16" t="s">
        <v>36</v>
      </c>
      <c r="O954" t="str">
        <f>IF(TRIM(J954)="","NULL",IFERROR(VLOOKUP(TRIM(J954),Lookup_PropertyType!$A:$B,2,FALSE()),"other"))</f>
        <v>apartment</v>
      </c>
      <c r="P954">
        <f t="shared" si="14"/>
        <v>0</v>
      </c>
    </row>
    <row r="955" spans="1:16" ht="15.75" customHeight="1" x14ac:dyDescent="0.35">
      <c r="A955" s="13">
        <v>954</v>
      </c>
      <c r="B955" s="14">
        <v>45962</v>
      </c>
      <c r="C955" s="15"/>
      <c r="D955" s="18" t="s">
        <v>32</v>
      </c>
      <c r="E955" s="17">
        <v>15000</v>
      </c>
      <c r="F955" s="13">
        <v>180</v>
      </c>
      <c r="G955" s="13">
        <v>438</v>
      </c>
      <c r="H955" s="19">
        <v>600000</v>
      </c>
      <c r="I955" s="19">
        <v>697949</v>
      </c>
      <c r="J955" s="20" t="s">
        <v>33</v>
      </c>
      <c r="K955" s="13">
        <v>40</v>
      </c>
      <c r="L955" s="18" t="s">
        <v>38</v>
      </c>
      <c r="M955" s="21" t="s">
        <v>39</v>
      </c>
      <c r="N955" s="16" t="s">
        <v>36</v>
      </c>
      <c r="O955" t="str">
        <f>IF(TRIM(J955)="","NULL",IFERROR(VLOOKUP(TRIM(J955),Lookup_PropertyType!$A:$B,2,FALSE()),"other"))</f>
        <v>apartment</v>
      </c>
      <c r="P955">
        <f t="shared" si="14"/>
        <v>0</v>
      </c>
    </row>
    <row r="956" spans="1:16" ht="15.75" customHeight="1" x14ac:dyDescent="0.35">
      <c r="A956" s="13">
        <v>955</v>
      </c>
      <c r="B956" s="14">
        <v>45960</v>
      </c>
      <c r="C956" s="15"/>
      <c r="D956" s="18" t="s">
        <v>32</v>
      </c>
      <c r="E956" s="17">
        <v>10000</v>
      </c>
      <c r="F956" s="13">
        <v>180</v>
      </c>
      <c r="G956" s="13">
        <v>396</v>
      </c>
      <c r="H956" s="19">
        <v>500000</v>
      </c>
      <c r="I956" s="19">
        <v>75000</v>
      </c>
      <c r="J956" s="20" t="s">
        <v>33</v>
      </c>
      <c r="K956" s="13">
        <v>41</v>
      </c>
      <c r="L956" s="18" t="s">
        <v>38</v>
      </c>
      <c r="M956" s="21" t="s">
        <v>35</v>
      </c>
      <c r="N956" s="16" t="s">
        <v>36</v>
      </c>
      <c r="O956" t="str">
        <f>IF(TRIM(J956)="","NULL",IFERROR(VLOOKUP(TRIM(J956),Lookup_PropertyType!$A:$B,2,FALSE()),"other"))</f>
        <v>apartment</v>
      </c>
      <c r="P956">
        <f t="shared" si="14"/>
        <v>0</v>
      </c>
    </row>
    <row r="957" spans="1:16" ht="15.75" customHeight="1" x14ac:dyDescent="0.35">
      <c r="A957" s="13">
        <v>956</v>
      </c>
      <c r="B957" s="14">
        <v>45957</v>
      </c>
      <c r="C957" s="15"/>
      <c r="D957" s="18" t="s">
        <v>49</v>
      </c>
      <c r="E957" s="17">
        <v>12000</v>
      </c>
      <c r="F957" s="13">
        <v>180</v>
      </c>
      <c r="G957" s="13">
        <v>577</v>
      </c>
      <c r="H957" s="19">
        <v>200000</v>
      </c>
      <c r="I957" s="19">
        <v>80000</v>
      </c>
      <c r="J957" s="20" t="s">
        <v>37</v>
      </c>
      <c r="K957" s="13">
        <v>35</v>
      </c>
      <c r="L957" s="18" t="s">
        <v>64</v>
      </c>
      <c r="M957" s="21" t="s">
        <v>39</v>
      </c>
      <c r="N957" s="16" t="s">
        <v>50</v>
      </c>
      <c r="O957" t="str">
        <f>IF(TRIM(J957)="","NULL",IFERROR(VLOOKUP(TRIM(J957),Lookup_PropertyType!$A:$B,2,FALSE()),"other"))</f>
        <v>house</v>
      </c>
      <c r="P957">
        <f t="shared" si="14"/>
        <v>0</v>
      </c>
    </row>
    <row r="958" spans="1:16" ht="15.75" customHeight="1" x14ac:dyDescent="0.35">
      <c r="A958" s="13">
        <v>957</v>
      </c>
      <c r="B958" s="14">
        <v>45970</v>
      </c>
      <c r="C958" s="15"/>
      <c r="D958" s="18" t="s">
        <v>46</v>
      </c>
      <c r="E958" s="17">
        <v>30000</v>
      </c>
      <c r="F958" s="13">
        <v>180</v>
      </c>
      <c r="G958" s="13">
        <v>1000</v>
      </c>
      <c r="H958" s="19">
        <v>700000</v>
      </c>
      <c r="I958" s="19">
        <v>100000</v>
      </c>
      <c r="J958" s="20" t="s">
        <v>37</v>
      </c>
      <c r="K958" s="13">
        <v>61</v>
      </c>
      <c r="L958" s="18" t="s">
        <v>38</v>
      </c>
      <c r="M958" s="21" t="s">
        <v>35</v>
      </c>
      <c r="N958" s="16" t="s">
        <v>50</v>
      </c>
      <c r="O958" t="str">
        <f>IF(TRIM(J958)="","NULL",IFERROR(VLOOKUP(TRIM(J958),Lookup_PropertyType!$A:$B,2,FALSE()),"other"))</f>
        <v>house</v>
      </c>
      <c r="P958">
        <f t="shared" si="14"/>
        <v>0</v>
      </c>
    </row>
    <row r="959" spans="1:16" ht="15.75" customHeight="1" x14ac:dyDescent="0.35">
      <c r="A959" s="13">
        <v>958</v>
      </c>
      <c r="B959" s="14">
        <v>45962</v>
      </c>
      <c r="C959" s="15"/>
      <c r="D959" s="18" t="s">
        <v>32</v>
      </c>
      <c r="E959" s="17">
        <v>5000</v>
      </c>
      <c r="F959" s="13">
        <v>120</v>
      </c>
      <c r="G959" s="13">
        <v>357</v>
      </c>
      <c r="H959" s="19">
        <v>350000</v>
      </c>
      <c r="I959" s="19">
        <v>60000</v>
      </c>
      <c r="J959" s="20" t="s">
        <v>33</v>
      </c>
      <c r="K959" s="13">
        <v>60</v>
      </c>
      <c r="L959" s="18" t="s">
        <v>38</v>
      </c>
      <c r="M959" s="21" t="s">
        <v>39</v>
      </c>
      <c r="N959" s="16" t="s">
        <v>50</v>
      </c>
      <c r="O959" t="str">
        <f>IF(TRIM(J959)="","NULL",IFERROR(VLOOKUP(TRIM(J959),Lookup_PropertyType!$A:$B,2,FALSE()),"other"))</f>
        <v>apartment</v>
      </c>
      <c r="P959">
        <f t="shared" si="14"/>
        <v>0</v>
      </c>
    </row>
    <row r="960" spans="1:16" ht="15.75" customHeight="1" x14ac:dyDescent="0.35">
      <c r="A960" s="13">
        <v>959</v>
      </c>
      <c r="B960" s="14">
        <v>45960</v>
      </c>
      <c r="C960" s="15"/>
      <c r="D960" s="18" t="s">
        <v>32</v>
      </c>
      <c r="E960" s="17">
        <v>17000</v>
      </c>
      <c r="F960" s="13">
        <v>120</v>
      </c>
      <c r="G960" s="13">
        <v>843</v>
      </c>
      <c r="H960" s="19">
        <v>400000</v>
      </c>
      <c r="I960" s="19">
        <v>60000</v>
      </c>
      <c r="J960" s="20" t="s">
        <v>33</v>
      </c>
      <c r="K960" s="13">
        <v>43</v>
      </c>
      <c r="L960" s="18" t="s">
        <v>41</v>
      </c>
      <c r="M960" s="21" t="s">
        <v>39</v>
      </c>
      <c r="N960" s="18" t="s">
        <v>36</v>
      </c>
      <c r="O960" t="str">
        <f>IF(TRIM(J960)="","NULL",IFERROR(VLOOKUP(TRIM(J960),Lookup_PropertyType!$A:$B,2,FALSE()),"other"))</f>
        <v>apartment</v>
      </c>
      <c r="P960">
        <f t="shared" si="14"/>
        <v>0</v>
      </c>
    </row>
    <row r="961" spans="1:16" ht="15.75" customHeight="1" x14ac:dyDescent="0.35">
      <c r="A961" s="13">
        <v>960</v>
      </c>
      <c r="B961" s="14">
        <v>45962</v>
      </c>
      <c r="C961" s="15"/>
      <c r="D961" s="18" t="s">
        <v>32</v>
      </c>
      <c r="E961" s="17">
        <v>6080.51</v>
      </c>
      <c r="F961" s="13">
        <v>180</v>
      </c>
      <c r="G961" s="13">
        <v>917</v>
      </c>
      <c r="H961" s="19">
        <v>400000</v>
      </c>
      <c r="I961" s="19">
        <v>110000</v>
      </c>
      <c r="J961" s="20" t="s">
        <v>37</v>
      </c>
      <c r="K961" s="13">
        <v>58</v>
      </c>
      <c r="L961" s="18" t="s">
        <v>38</v>
      </c>
      <c r="M961" s="21" t="s">
        <v>39</v>
      </c>
      <c r="N961" s="18" t="s">
        <v>43</v>
      </c>
      <c r="O961" t="str">
        <f>IF(TRIM(J961)="","NULL",IFERROR(VLOOKUP(TRIM(J961),Lookup_PropertyType!$A:$B,2,FALSE()),"other"))</f>
        <v>house</v>
      </c>
      <c r="P961">
        <f t="shared" si="14"/>
        <v>0</v>
      </c>
    </row>
    <row r="962" spans="1:16" ht="15.75" customHeight="1" x14ac:dyDescent="0.35">
      <c r="A962" s="13">
        <v>961</v>
      </c>
      <c r="B962" s="14">
        <v>45961</v>
      </c>
      <c r="C962" s="15"/>
      <c r="D962" s="18" t="s">
        <v>44</v>
      </c>
      <c r="E962" s="17">
        <v>7000</v>
      </c>
      <c r="F962" s="13">
        <v>180</v>
      </c>
      <c r="G962" s="13">
        <v>362</v>
      </c>
      <c r="H962" s="19">
        <v>400000</v>
      </c>
      <c r="I962" s="19">
        <v>70000</v>
      </c>
      <c r="J962" s="20" t="s">
        <v>33</v>
      </c>
      <c r="K962" s="13">
        <v>56</v>
      </c>
      <c r="L962" s="18" t="s">
        <v>41</v>
      </c>
      <c r="M962" s="18" t="s">
        <v>48</v>
      </c>
      <c r="N962" s="18" t="s">
        <v>51</v>
      </c>
      <c r="O962" t="str">
        <f>IF(TRIM(J962)="","NULL",IFERROR(VLOOKUP(TRIM(J962),Lookup_PropertyType!$A:$B,2,FALSE()),"other"))</f>
        <v>apartment</v>
      </c>
      <c r="P962">
        <f t="shared" ref="P962:P1025" si="15">IF(AND(C962&lt;&gt;"",C962&gt;=B962),1,0)</f>
        <v>0</v>
      </c>
    </row>
    <row r="963" spans="1:16" ht="15.75" customHeight="1" x14ac:dyDescent="0.35">
      <c r="A963" s="13">
        <v>962</v>
      </c>
      <c r="B963" s="14">
        <v>45960</v>
      </c>
      <c r="C963" s="15"/>
      <c r="D963" s="18" t="s">
        <v>32</v>
      </c>
      <c r="E963" s="17">
        <v>18000</v>
      </c>
      <c r="F963" s="13">
        <v>180</v>
      </c>
      <c r="G963" s="13">
        <v>686</v>
      </c>
      <c r="H963" s="19">
        <v>1200000</v>
      </c>
      <c r="I963" s="19">
        <v>250000</v>
      </c>
      <c r="J963" s="20" t="s">
        <v>37</v>
      </c>
      <c r="K963" s="13">
        <v>38</v>
      </c>
      <c r="L963" s="18" t="s">
        <v>41</v>
      </c>
      <c r="M963" s="18" t="s">
        <v>39</v>
      </c>
      <c r="N963" s="18" t="s">
        <v>42</v>
      </c>
      <c r="O963" t="str">
        <f>IF(TRIM(J963)="","NULL",IFERROR(VLOOKUP(TRIM(J963),Lookup_PropertyType!$A:$B,2,FALSE()),"other"))</f>
        <v>house</v>
      </c>
      <c r="P963">
        <f t="shared" si="15"/>
        <v>0</v>
      </c>
    </row>
    <row r="964" spans="1:16" ht="15.75" customHeight="1" x14ac:dyDescent="0.35">
      <c r="A964" s="13">
        <v>963</v>
      </c>
      <c r="B964" s="14">
        <v>45961</v>
      </c>
      <c r="C964" s="15"/>
      <c r="D964" s="18" t="s">
        <v>83</v>
      </c>
      <c r="E964" s="17">
        <v>16000</v>
      </c>
      <c r="F964" s="13">
        <v>150</v>
      </c>
      <c r="G964" s="13">
        <v>406</v>
      </c>
      <c r="H964" s="19">
        <v>1500000</v>
      </c>
      <c r="I964" s="19">
        <v>80000</v>
      </c>
      <c r="J964" s="20" t="s">
        <v>33</v>
      </c>
      <c r="K964" s="13">
        <v>64</v>
      </c>
      <c r="L964" s="18" t="s">
        <v>38</v>
      </c>
      <c r="M964" s="21" t="s">
        <v>39</v>
      </c>
      <c r="N964" s="18" t="s">
        <v>43</v>
      </c>
      <c r="O964" t="str">
        <f>IF(TRIM(J964)="","NULL",IFERROR(VLOOKUP(TRIM(J964),Lookup_PropertyType!$A:$B,2,FALSE()),"other"))</f>
        <v>apartment</v>
      </c>
      <c r="P964">
        <f t="shared" si="15"/>
        <v>0</v>
      </c>
    </row>
    <row r="965" spans="1:16" ht="15.75" customHeight="1" x14ac:dyDescent="0.35">
      <c r="A965" s="13">
        <v>964</v>
      </c>
      <c r="B965" s="14">
        <v>45962</v>
      </c>
      <c r="C965" s="15"/>
      <c r="D965" s="18" t="s">
        <v>32</v>
      </c>
      <c r="E965" s="17">
        <v>16000</v>
      </c>
      <c r="F965" s="13">
        <v>180</v>
      </c>
      <c r="G965" s="13">
        <v>743</v>
      </c>
      <c r="H965" s="19">
        <v>500000</v>
      </c>
      <c r="I965" s="19">
        <v>250000</v>
      </c>
      <c r="J965" s="20" t="s">
        <v>37</v>
      </c>
      <c r="K965" s="13">
        <v>47</v>
      </c>
      <c r="L965" s="18" t="s">
        <v>38</v>
      </c>
      <c r="M965" s="21" t="s">
        <v>39</v>
      </c>
      <c r="N965" s="16" t="s">
        <v>50</v>
      </c>
      <c r="O965" t="str">
        <f>IF(TRIM(J965)="","NULL",IFERROR(VLOOKUP(TRIM(J965),Lookup_PropertyType!$A:$B,2,FALSE()),"other"))</f>
        <v>house</v>
      </c>
      <c r="P965">
        <f t="shared" si="15"/>
        <v>0</v>
      </c>
    </row>
    <row r="966" spans="1:16" ht="15.75" customHeight="1" x14ac:dyDescent="0.35">
      <c r="A966" s="13">
        <v>965</v>
      </c>
      <c r="B966" s="14">
        <v>45961</v>
      </c>
      <c r="C966" s="15"/>
      <c r="D966" s="18" t="s">
        <v>57</v>
      </c>
      <c r="E966" s="17">
        <v>17000</v>
      </c>
      <c r="F966" s="13">
        <v>90</v>
      </c>
      <c r="G966" s="13">
        <v>329</v>
      </c>
      <c r="H966" s="19">
        <v>1350000</v>
      </c>
      <c r="I966" s="19">
        <v>370000</v>
      </c>
      <c r="J966" s="20" t="s">
        <v>33</v>
      </c>
      <c r="K966" s="13">
        <v>61</v>
      </c>
      <c r="L966" s="18" t="s">
        <v>38</v>
      </c>
      <c r="M966" s="21" t="s">
        <v>39</v>
      </c>
      <c r="N966" s="18" t="s">
        <v>43</v>
      </c>
      <c r="O966" t="str">
        <f>IF(TRIM(J966)="","NULL",IFERROR(VLOOKUP(TRIM(J966),Lookup_PropertyType!$A:$B,2,FALSE()),"other"))</f>
        <v>apartment</v>
      </c>
      <c r="P966">
        <f t="shared" si="15"/>
        <v>0</v>
      </c>
    </row>
    <row r="967" spans="1:16" ht="15.75" customHeight="1" x14ac:dyDescent="0.35">
      <c r="A967" s="13">
        <v>966</v>
      </c>
      <c r="B967" s="14">
        <v>45962</v>
      </c>
      <c r="C967" s="15"/>
      <c r="D967" s="18" t="s">
        <v>32</v>
      </c>
      <c r="E967" s="17">
        <v>22800</v>
      </c>
      <c r="F967" s="13">
        <v>90</v>
      </c>
      <c r="G967" s="13">
        <v>914</v>
      </c>
      <c r="H967" s="19">
        <v>1000000</v>
      </c>
      <c r="I967" s="19">
        <v>440000</v>
      </c>
      <c r="J967" s="20" t="s">
        <v>33</v>
      </c>
      <c r="K967" s="13">
        <v>45</v>
      </c>
      <c r="L967" s="18" t="s">
        <v>38</v>
      </c>
      <c r="M967" s="21" t="s">
        <v>39</v>
      </c>
      <c r="N967" s="18" t="s">
        <v>42</v>
      </c>
      <c r="O967" t="str">
        <f>IF(TRIM(J967)="","NULL",IFERROR(VLOOKUP(TRIM(J967),Lookup_PropertyType!$A:$B,2,FALSE()),"other"))</f>
        <v>apartment</v>
      </c>
      <c r="P967">
        <f t="shared" si="15"/>
        <v>0</v>
      </c>
    </row>
    <row r="968" spans="1:16" ht="15.75" customHeight="1" x14ac:dyDescent="0.35">
      <c r="A968" s="13">
        <v>967</v>
      </c>
      <c r="B968" s="14">
        <v>45967</v>
      </c>
      <c r="C968" s="15"/>
      <c r="D968" s="18" t="s">
        <v>32</v>
      </c>
      <c r="E968" s="17">
        <v>10000</v>
      </c>
      <c r="F968" s="13">
        <v>90</v>
      </c>
      <c r="G968" s="13">
        <v>505</v>
      </c>
      <c r="H968" s="19">
        <v>500000</v>
      </c>
      <c r="I968" s="19">
        <v>200000</v>
      </c>
      <c r="J968" s="20" t="s">
        <v>33</v>
      </c>
      <c r="K968" s="13">
        <v>49</v>
      </c>
      <c r="L968" s="18" t="s">
        <v>45</v>
      </c>
      <c r="M968" s="18" t="s">
        <v>72</v>
      </c>
      <c r="N968" s="18" t="s">
        <v>36</v>
      </c>
      <c r="O968" t="str">
        <f>IF(TRIM(J968)="","NULL",IFERROR(VLOOKUP(TRIM(J968),Lookup_PropertyType!$A:$B,2,FALSE()),"other"))</f>
        <v>apartment</v>
      </c>
      <c r="P968">
        <f t="shared" si="15"/>
        <v>0</v>
      </c>
    </row>
    <row r="969" spans="1:16" ht="15.75" customHeight="1" x14ac:dyDescent="0.35">
      <c r="A969" s="13">
        <v>968</v>
      </c>
      <c r="B969" s="14">
        <v>45960</v>
      </c>
      <c r="C969" s="15"/>
      <c r="D969" s="18" t="s">
        <v>32</v>
      </c>
      <c r="E969" s="17">
        <v>17000</v>
      </c>
      <c r="F969" s="13">
        <v>180</v>
      </c>
      <c r="G969" s="13">
        <v>958</v>
      </c>
      <c r="H969" s="19">
        <v>1000000</v>
      </c>
      <c r="I969" s="19">
        <v>350000</v>
      </c>
      <c r="J969" s="20" t="s">
        <v>33</v>
      </c>
      <c r="K969" s="13">
        <v>62</v>
      </c>
      <c r="L969" s="18" t="s">
        <v>38</v>
      </c>
      <c r="M969" s="18" t="s">
        <v>39</v>
      </c>
      <c r="N969" s="18" t="s">
        <v>36</v>
      </c>
      <c r="O969" t="str">
        <f>IF(TRIM(J969)="","NULL",IFERROR(VLOOKUP(TRIM(J969),Lookup_PropertyType!$A:$B,2,FALSE()),"other"))</f>
        <v>apartment</v>
      </c>
      <c r="P969">
        <f t="shared" si="15"/>
        <v>0</v>
      </c>
    </row>
    <row r="970" spans="1:16" ht="15.75" customHeight="1" x14ac:dyDescent="0.35">
      <c r="A970" s="13">
        <v>969</v>
      </c>
      <c r="B970" s="14">
        <v>46012</v>
      </c>
      <c r="C970" s="15"/>
      <c r="D970" s="18" t="s">
        <v>32</v>
      </c>
      <c r="E970" s="17">
        <v>6380</v>
      </c>
      <c r="F970" s="13">
        <v>180</v>
      </c>
      <c r="G970" s="13">
        <v>784</v>
      </c>
      <c r="H970" s="19">
        <v>400000</v>
      </c>
      <c r="I970" s="19">
        <v>150000</v>
      </c>
      <c r="J970" s="20" t="s">
        <v>33</v>
      </c>
      <c r="K970" s="13">
        <v>34</v>
      </c>
      <c r="L970" s="18" t="s">
        <v>38</v>
      </c>
      <c r="M970" s="21" t="s">
        <v>39</v>
      </c>
      <c r="N970" s="18" t="s">
        <v>42</v>
      </c>
      <c r="O970" t="str">
        <f>IF(TRIM(J970)="","NULL",IFERROR(VLOOKUP(TRIM(J970),Lookup_PropertyType!$A:$B,2,FALSE()),"other"))</f>
        <v>apartment</v>
      </c>
      <c r="P970">
        <f t="shared" si="15"/>
        <v>0</v>
      </c>
    </row>
    <row r="971" spans="1:16" ht="15.75" customHeight="1" x14ac:dyDescent="0.35">
      <c r="A971" s="13">
        <v>970</v>
      </c>
      <c r="B971" s="14">
        <v>45992</v>
      </c>
      <c r="C971" s="15"/>
      <c r="D971" s="18" t="s">
        <v>32</v>
      </c>
      <c r="E971" s="17">
        <v>20000</v>
      </c>
      <c r="F971" s="13">
        <v>180</v>
      </c>
      <c r="G971" s="13">
        <v>483</v>
      </c>
      <c r="H971" s="19">
        <v>600000</v>
      </c>
      <c r="I971" s="19">
        <v>150000</v>
      </c>
      <c r="J971" s="20" t="s">
        <v>33</v>
      </c>
      <c r="K971" s="13">
        <v>44</v>
      </c>
      <c r="L971" s="18" t="s">
        <v>41</v>
      </c>
      <c r="M971" s="21" t="s">
        <v>39</v>
      </c>
      <c r="N971" s="18" t="s">
        <v>36</v>
      </c>
      <c r="O971" t="str">
        <f>IF(TRIM(J971)="","NULL",IFERROR(VLOOKUP(TRIM(J971),Lookup_PropertyType!$A:$B,2,FALSE()),"other"))</f>
        <v>apartment</v>
      </c>
      <c r="P971">
        <f t="shared" si="15"/>
        <v>0</v>
      </c>
    </row>
    <row r="972" spans="1:16" ht="15.75" customHeight="1" x14ac:dyDescent="0.35">
      <c r="A972" s="13">
        <v>971</v>
      </c>
      <c r="B972" s="14">
        <v>45964</v>
      </c>
      <c r="C972" s="15"/>
      <c r="D972" s="18" t="s">
        <v>32</v>
      </c>
      <c r="E972" s="17">
        <v>15000</v>
      </c>
      <c r="F972" s="13">
        <v>180</v>
      </c>
      <c r="G972" s="13">
        <v>810</v>
      </c>
      <c r="H972" s="19">
        <v>1100000</v>
      </c>
      <c r="I972" s="19">
        <v>400000</v>
      </c>
      <c r="J972" s="20" t="s">
        <v>37</v>
      </c>
      <c r="K972" s="13">
        <v>45</v>
      </c>
      <c r="L972" s="18" t="s">
        <v>34</v>
      </c>
      <c r="M972" s="21" t="s">
        <v>39</v>
      </c>
      <c r="N972" s="18" t="s">
        <v>36</v>
      </c>
      <c r="O972" t="str">
        <f>IF(TRIM(J972)="","NULL",IFERROR(VLOOKUP(TRIM(J972),Lookup_PropertyType!$A:$B,2,FALSE()),"other"))</f>
        <v>house</v>
      </c>
      <c r="P972">
        <f t="shared" si="15"/>
        <v>0</v>
      </c>
    </row>
    <row r="973" spans="1:16" ht="15.75" customHeight="1" x14ac:dyDescent="0.35">
      <c r="A973" s="13">
        <v>972</v>
      </c>
      <c r="B973" s="14">
        <v>45969</v>
      </c>
      <c r="C973" s="15"/>
      <c r="D973" s="18" t="s">
        <v>58</v>
      </c>
      <c r="E973" s="17">
        <v>50000</v>
      </c>
      <c r="F973" s="13">
        <v>180</v>
      </c>
      <c r="G973" s="13">
        <v>888</v>
      </c>
      <c r="H973" s="19">
        <v>250000</v>
      </c>
      <c r="I973" s="19">
        <v>80000</v>
      </c>
      <c r="J973" s="20" t="s">
        <v>53</v>
      </c>
      <c r="K973" s="13">
        <v>63</v>
      </c>
      <c r="L973" s="18" t="s">
        <v>64</v>
      </c>
      <c r="M973" s="21" t="s">
        <v>35</v>
      </c>
      <c r="N973" s="18" t="s">
        <v>40</v>
      </c>
      <c r="O973" t="str">
        <f>IF(TRIM(J973)="","NULL",IFERROR(VLOOKUP(TRIM(J973),Lookup_PropertyType!$A:$B,2,FALSE()),"other"))</f>
        <v>other</v>
      </c>
      <c r="P973">
        <f t="shared" si="15"/>
        <v>0</v>
      </c>
    </row>
    <row r="974" spans="1:16" ht="15.75" customHeight="1" x14ac:dyDescent="0.35">
      <c r="A974" s="13">
        <v>973</v>
      </c>
      <c r="B974" s="14">
        <v>45968</v>
      </c>
      <c r="C974" s="15"/>
      <c r="D974" s="18" t="s">
        <v>49</v>
      </c>
      <c r="E974" s="17">
        <v>12000</v>
      </c>
      <c r="F974" s="13">
        <v>120</v>
      </c>
      <c r="G974" s="13">
        <v>965</v>
      </c>
      <c r="H974" s="19">
        <v>500000</v>
      </c>
      <c r="I974" s="19">
        <v>30000</v>
      </c>
      <c r="J974" s="20" t="s">
        <v>60</v>
      </c>
      <c r="K974" s="13">
        <v>37</v>
      </c>
      <c r="L974" s="18" t="s">
        <v>38</v>
      </c>
      <c r="M974" s="21" t="s">
        <v>39</v>
      </c>
      <c r="N974" s="18" t="s">
        <v>42</v>
      </c>
      <c r="O974" t="str">
        <f>IF(TRIM(J974)="","NULL",IFERROR(VLOOKUP(TRIM(J974),Lookup_PropertyType!$A:$B,2,FALSE()),"other"))</f>
        <v>other</v>
      </c>
      <c r="P974">
        <f t="shared" si="15"/>
        <v>0</v>
      </c>
    </row>
    <row r="975" spans="1:16" ht="15.75" customHeight="1" x14ac:dyDescent="0.35">
      <c r="A975" s="13">
        <v>974</v>
      </c>
      <c r="B975" s="14">
        <v>45968</v>
      </c>
      <c r="C975" s="15"/>
      <c r="D975" s="18" t="s">
        <v>32</v>
      </c>
      <c r="E975" s="17">
        <v>20000</v>
      </c>
      <c r="F975" s="13">
        <v>180</v>
      </c>
      <c r="G975" s="13">
        <v>975</v>
      </c>
      <c r="H975" s="19">
        <v>800000</v>
      </c>
      <c r="I975" s="19">
        <v>40000</v>
      </c>
      <c r="J975" s="20" t="s">
        <v>60</v>
      </c>
      <c r="K975" s="13">
        <v>47</v>
      </c>
      <c r="L975" s="18" t="s">
        <v>59</v>
      </c>
      <c r="M975" s="21" t="s">
        <v>39</v>
      </c>
      <c r="N975" s="18" t="s">
        <v>42</v>
      </c>
      <c r="O975" t="str">
        <f>IF(TRIM(J975)="","NULL",IFERROR(VLOOKUP(TRIM(J975),Lookup_PropertyType!$A:$B,2,FALSE()),"other"))</f>
        <v>other</v>
      </c>
      <c r="P975">
        <f t="shared" si="15"/>
        <v>0</v>
      </c>
    </row>
    <row r="976" spans="1:16" ht="15.75" customHeight="1" x14ac:dyDescent="0.35">
      <c r="A976" s="13">
        <v>975</v>
      </c>
      <c r="B976" s="14">
        <v>45970</v>
      </c>
      <c r="C976" s="14">
        <v>46046</v>
      </c>
      <c r="D976" s="18" t="s">
        <v>57</v>
      </c>
      <c r="E976" s="17">
        <v>8000</v>
      </c>
      <c r="F976" s="13">
        <v>180</v>
      </c>
      <c r="G976" s="13">
        <v>609</v>
      </c>
      <c r="H976" s="19">
        <v>300000</v>
      </c>
      <c r="I976" s="19">
        <v>317674</v>
      </c>
      <c r="J976" s="20" t="s">
        <v>33</v>
      </c>
      <c r="K976" s="13">
        <v>54</v>
      </c>
      <c r="L976" s="18" t="s">
        <v>45</v>
      </c>
      <c r="M976" s="21" t="s">
        <v>54</v>
      </c>
      <c r="N976" s="18" t="s">
        <v>42</v>
      </c>
      <c r="O976" t="str">
        <f>IF(TRIM(J976)="","NULL",IFERROR(VLOOKUP(TRIM(J976),Lookup_PropertyType!$A:$B,2,FALSE()),"other"))</f>
        <v>apartment</v>
      </c>
      <c r="P976">
        <f t="shared" si="15"/>
        <v>1</v>
      </c>
    </row>
    <row r="977" spans="1:16" ht="15.75" customHeight="1" x14ac:dyDescent="0.35">
      <c r="A977" s="13">
        <v>976</v>
      </c>
      <c r="B977" s="14">
        <v>45960</v>
      </c>
      <c r="C977" s="14">
        <v>45991</v>
      </c>
      <c r="D977" s="18" t="s">
        <v>32</v>
      </c>
      <c r="E977" s="17">
        <v>6000</v>
      </c>
      <c r="F977" s="13">
        <v>180</v>
      </c>
      <c r="G977" s="13">
        <v>631</v>
      </c>
      <c r="H977" s="19">
        <v>850000</v>
      </c>
      <c r="I977" s="19">
        <v>75000</v>
      </c>
      <c r="J977" s="20" t="s">
        <v>37</v>
      </c>
      <c r="K977" s="13">
        <v>26</v>
      </c>
      <c r="L977" s="18" t="s">
        <v>38</v>
      </c>
      <c r="M977" s="21" t="s">
        <v>39</v>
      </c>
      <c r="N977" s="16" t="s">
        <v>50</v>
      </c>
      <c r="O977" t="str">
        <f>IF(TRIM(J977)="","NULL",IFERROR(VLOOKUP(TRIM(J977),Lookup_PropertyType!$A:$B,2,FALSE()),"other"))</f>
        <v>house</v>
      </c>
      <c r="P977">
        <f t="shared" si="15"/>
        <v>1</v>
      </c>
    </row>
    <row r="978" spans="1:16" ht="15.75" customHeight="1" x14ac:dyDescent="0.35">
      <c r="A978" s="13">
        <v>977</v>
      </c>
      <c r="B978" s="14">
        <v>45961</v>
      </c>
      <c r="C978" s="15"/>
      <c r="D978" s="18" t="s">
        <v>83</v>
      </c>
      <c r="E978" s="17">
        <v>4000</v>
      </c>
      <c r="F978" s="13">
        <v>90</v>
      </c>
      <c r="G978" s="13">
        <v>327</v>
      </c>
      <c r="H978" s="19">
        <v>200000</v>
      </c>
      <c r="I978" s="19">
        <v>50000</v>
      </c>
      <c r="J978" s="20" t="s">
        <v>60</v>
      </c>
      <c r="K978" s="13">
        <v>49</v>
      </c>
      <c r="L978" s="18" t="s">
        <v>64</v>
      </c>
      <c r="M978" s="21" t="s">
        <v>39</v>
      </c>
      <c r="N978" s="16" t="s">
        <v>50</v>
      </c>
      <c r="O978" t="str">
        <f>IF(TRIM(J978)="","NULL",IFERROR(VLOOKUP(TRIM(J978),Lookup_PropertyType!$A:$B,2,FALSE()),"other"))</f>
        <v>other</v>
      </c>
      <c r="P978">
        <f t="shared" si="15"/>
        <v>0</v>
      </c>
    </row>
    <row r="979" spans="1:16" ht="15.75" customHeight="1" x14ac:dyDescent="0.35">
      <c r="A979" s="13">
        <v>978</v>
      </c>
      <c r="B979" s="14">
        <v>45969</v>
      </c>
      <c r="C979" s="15"/>
      <c r="D979" s="18" t="s">
        <v>32</v>
      </c>
      <c r="E979" s="17">
        <v>40000</v>
      </c>
      <c r="F979" s="13">
        <v>180</v>
      </c>
      <c r="G979" s="13">
        <v>919</v>
      </c>
      <c r="H979" s="19">
        <v>3500000</v>
      </c>
      <c r="I979" s="19">
        <v>500000</v>
      </c>
      <c r="J979" s="20" t="s">
        <v>37</v>
      </c>
      <c r="K979" s="13">
        <v>44</v>
      </c>
      <c r="L979" s="18" t="s">
        <v>41</v>
      </c>
      <c r="M979" s="21" t="s">
        <v>39</v>
      </c>
      <c r="N979" s="18" t="s">
        <v>36</v>
      </c>
      <c r="O979" t="str">
        <f>IF(TRIM(J979)="","NULL",IFERROR(VLOOKUP(TRIM(J979),Lookup_PropertyType!$A:$B,2,FALSE()),"other"))</f>
        <v>house</v>
      </c>
      <c r="P979">
        <f t="shared" si="15"/>
        <v>0</v>
      </c>
    </row>
    <row r="980" spans="1:16" ht="15.75" customHeight="1" x14ac:dyDescent="0.35">
      <c r="A980" s="13">
        <v>979</v>
      </c>
      <c r="B980" s="14">
        <v>45985</v>
      </c>
      <c r="C980" s="15"/>
      <c r="D980" s="18" t="s">
        <v>32</v>
      </c>
      <c r="E980" s="17">
        <v>10000</v>
      </c>
      <c r="F980" s="13">
        <v>180</v>
      </c>
      <c r="G980" s="13">
        <v>766</v>
      </c>
      <c r="H980" s="19">
        <v>500000</v>
      </c>
      <c r="I980" s="19">
        <v>200000</v>
      </c>
      <c r="J980" s="20" t="s">
        <v>37</v>
      </c>
      <c r="K980" s="13">
        <v>30</v>
      </c>
      <c r="L980" s="18" t="s">
        <v>41</v>
      </c>
      <c r="M980" s="21" t="s">
        <v>39</v>
      </c>
      <c r="N980" s="18" t="s">
        <v>42</v>
      </c>
      <c r="O980" t="str">
        <f>IF(TRIM(J980)="","NULL",IFERROR(VLOOKUP(TRIM(J980),Lookup_PropertyType!$A:$B,2,FALSE()),"other"))</f>
        <v>house</v>
      </c>
      <c r="P980">
        <f t="shared" si="15"/>
        <v>0</v>
      </c>
    </row>
    <row r="981" spans="1:16" ht="15.75" customHeight="1" x14ac:dyDescent="0.35">
      <c r="A981" s="13">
        <v>980</v>
      </c>
      <c r="B981" s="14">
        <v>45971</v>
      </c>
      <c r="C981" s="15"/>
      <c r="D981" s="18" t="s">
        <v>32</v>
      </c>
      <c r="E981" s="17">
        <v>12000</v>
      </c>
      <c r="F981" s="13">
        <v>150</v>
      </c>
      <c r="G981" s="13">
        <v>798</v>
      </c>
      <c r="H981" s="19">
        <v>800000</v>
      </c>
      <c r="I981" s="19">
        <v>200000</v>
      </c>
      <c r="J981" s="20" t="s">
        <v>37</v>
      </c>
      <c r="K981" s="13">
        <v>53</v>
      </c>
      <c r="L981" s="18" t="s">
        <v>38</v>
      </c>
      <c r="M981" s="21" t="s">
        <v>39</v>
      </c>
      <c r="N981" s="16" t="s">
        <v>36</v>
      </c>
      <c r="O981" t="str">
        <f>IF(TRIM(J981)="","NULL",IFERROR(VLOOKUP(TRIM(J981),Lookup_PropertyType!$A:$B,2,FALSE()),"other"))</f>
        <v>house</v>
      </c>
      <c r="P981">
        <f t="shared" si="15"/>
        <v>0</v>
      </c>
    </row>
    <row r="982" spans="1:16" ht="15.75" customHeight="1" x14ac:dyDescent="0.35">
      <c r="A982" s="13">
        <v>981</v>
      </c>
      <c r="B982" s="14">
        <v>45964</v>
      </c>
      <c r="C982" s="15"/>
      <c r="D982" s="18" t="s">
        <v>32</v>
      </c>
      <c r="E982" s="17">
        <v>16000</v>
      </c>
      <c r="F982" s="13">
        <v>180</v>
      </c>
      <c r="G982" s="13">
        <v>896</v>
      </c>
      <c r="H982" s="19">
        <v>750000</v>
      </c>
      <c r="I982" s="19">
        <v>270000</v>
      </c>
      <c r="J982" s="20" t="s">
        <v>37</v>
      </c>
      <c r="K982" s="13">
        <v>61</v>
      </c>
      <c r="L982" s="18" t="s">
        <v>34</v>
      </c>
      <c r="M982" s="21" t="s">
        <v>39</v>
      </c>
      <c r="N982" s="16" t="s">
        <v>43</v>
      </c>
      <c r="O982" t="str">
        <f>IF(TRIM(J982)="","NULL",IFERROR(VLOOKUP(TRIM(J982),Lookup_PropertyType!$A:$B,2,FALSE()),"other"))</f>
        <v>house</v>
      </c>
      <c r="P982">
        <f t="shared" si="15"/>
        <v>0</v>
      </c>
    </row>
    <row r="983" spans="1:16" ht="15.75" customHeight="1" x14ac:dyDescent="0.35">
      <c r="A983" s="13">
        <v>982</v>
      </c>
      <c r="B983" s="14">
        <v>45982</v>
      </c>
      <c r="C983" s="15"/>
      <c r="D983" s="18" t="s">
        <v>32</v>
      </c>
      <c r="E983" s="17">
        <v>18000</v>
      </c>
      <c r="F983" s="13">
        <v>90</v>
      </c>
      <c r="G983" s="13">
        <v>210</v>
      </c>
      <c r="H983" s="19">
        <v>650000</v>
      </c>
      <c r="I983" s="19">
        <v>200000</v>
      </c>
      <c r="J983" s="20" t="s">
        <v>33</v>
      </c>
      <c r="K983" s="13">
        <v>51</v>
      </c>
      <c r="L983" s="18" t="s">
        <v>38</v>
      </c>
      <c r="M983" s="21" t="s">
        <v>39</v>
      </c>
      <c r="N983" s="16" t="s">
        <v>36</v>
      </c>
      <c r="O983" t="str">
        <f>IF(TRIM(J983)="","NULL",IFERROR(VLOOKUP(TRIM(J983),Lookup_PropertyType!$A:$B,2,FALSE()),"other"))</f>
        <v>apartment</v>
      </c>
      <c r="P983">
        <f t="shared" si="15"/>
        <v>0</v>
      </c>
    </row>
    <row r="984" spans="1:16" ht="15.75" customHeight="1" x14ac:dyDescent="0.35">
      <c r="A984" s="13">
        <v>983</v>
      </c>
      <c r="B984" s="14">
        <v>45974</v>
      </c>
      <c r="C984" s="15"/>
      <c r="D984" s="18" t="s">
        <v>32</v>
      </c>
      <c r="E984" s="17">
        <v>20000</v>
      </c>
      <c r="F984" s="13">
        <v>150</v>
      </c>
      <c r="G984" s="13">
        <v>326</v>
      </c>
      <c r="H984" s="19">
        <v>1700000</v>
      </c>
      <c r="I984" s="19">
        <v>700000</v>
      </c>
      <c r="J984" s="20" t="s">
        <v>37</v>
      </c>
      <c r="K984" s="13">
        <v>51</v>
      </c>
      <c r="L984" s="18" t="s">
        <v>41</v>
      </c>
      <c r="M984" s="21" t="s">
        <v>39</v>
      </c>
      <c r="N984" s="16" t="s">
        <v>40</v>
      </c>
      <c r="O984" t="str">
        <f>IF(TRIM(J984)="","NULL",IFERROR(VLOOKUP(TRIM(J984),Lookup_PropertyType!$A:$B,2,FALSE()),"other"))</f>
        <v>house</v>
      </c>
      <c r="P984">
        <f t="shared" si="15"/>
        <v>0</v>
      </c>
    </row>
    <row r="985" spans="1:16" ht="15.75" customHeight="1" x14ac:dyDescent="0.35">
      <c r="A985" s="13">
        <v>984</v>
      </c>
      <c r="B985" s="14">
        <v>45971</v>
      </c>
      <c r="C985" s="15"/>
      <c r="D985" s="18" t="s">
        <v>32</v>
      </c>
      <c r="E985" s="17">
        <v>16791</v>
      </c>
      <c r="F985" s="13">
        <v>90</v>
      </c>
      <c r="G985" s="13">
        <v>841</v>
      </c>
      <c r="H985" s="19">
        <v>300000</v>
      </c>
      <c r="I985" s="19">
        <v>70000</v>
      </c>
      <c r="J985" s="20" t="s">
        <v>37</v>
      </c>
      <c r="K985" s="13">
        <v>35</v>
      </c>
      <c r="L985" s="18" t="s">
        <v>34</v>
      </c>
      <c r="M985" s="21" t="s">
        <v>39</v>
      </c>
      <c r="N985" s="16" t="s">
        <v>42</v>
      </c>
      <c r="O985" t="str">
        <f>IF(TRIM(J985)="","NULL",IFERROR(VLOOKUP(TRIM(J985),Lookup_PropertyType!$A:$B,2,FALSE()),"other"))</f>
        <v>house</v>
      </c>
      <c r="P985">
        <f t="shared" si="15"/>
        <v>0</v>
      </c>
    </row>
    <row r="986" spans="1:16" ht="15.75" customHeight="1" x14ac:dyDescent="0.35">
      <c r="A986" s="13">
        <v>985</v>
      </c>
      <c r="B986" s="14">
        <v>45985</v>
      </c>
      <c r="C986" s="14">
        <v>46033</v>
      </c>
      <c r="D986" s="18" t="s">
        <v>32</v>
      </c>
      <c r="E986" s="17">
        <v>7000</v>
      </c>
      <c r="F986" s="13">
        <v>180</v>
      </c>
      <c r="G986" s="13">
        <v>952</v>
      </c>
      <c r="H986" s="19">
        <v>800000</v>
      </c>
      <c r="I986" s="19">
        <v>95000</v>
      </c>
      <c r="J986" s="20" t="s">
        <v>33</v>
      </c>
      <c r="K986" s="13">
        <v>37</v>
      </c>
      <c r="L986" s="18" t="s">
        <v>38</v>
      </c>
      <c r="M986" s="18" t="s">
        <v>39</v>
      </c>
      <c r="N986" s="16" t="s">
        <v>48</v>
      </c>
      <c r="O986" t="str">
        <f>IF(TRIM(J986)="","NULL",IFERROR(VLOOKUP(TRIM(J986),Lookup_PropertyType!$A:$B,2,FALSE()),"other"))</f>
        <v>apartment</v>
      </c>
      <c r="P986">
        <f t="shared" si="15"/>
        <v>1</v>
      </c>
    </row>
    <row r="987" spans="1:16" ht="15.75" customHeight="1" x14ac:dyDescent="0.35">
      <c r="A987" s="13">
        <v>986</v>
      </c>
      <c r="B987" s="14">
        <v>45975</v>
      </c>
      <c r="C987" s="15"/>
      <c r="D987" s="18" t="s">
        <v>57</v>
      </c>
      <c r="E987" s="17">
        <v>10000</v>
      </c>
      <c r="F987" s="13">
        <v>180</v>
      </c>
      <c r="G987" s="13">
        <v>250</v>
      </c>
      <c r="H987" s="19">
        <v>600000</v>
      </c>
      <c r="I987" s="19">
        <v>50000</v>
      </c>
      <c r="J987" s="20" t="s">
        <v>37</v>
      </c>
      <c r="K987" s="13">
        <v>44</v>
      </c>
      <c r="L987" s="18" t="s">
        <v>38</v>
      </c>
      <c r="M987" s="21" t="s">
        <v>54</v>
      </c>
      <c r="N987" s="16" t="s">
        <v>42</v>
      </c>
      <c r="O987" t="str">
        <f>IF(TRIM(J987)="","NULL",IFERROR(VLOOKUP(TRIM(J987),Lookup_PropertyType!$A:$B,2,FALSE()),"other"))</f>
        <v>house</v>
      </c>
      <c r="P987">
        <f t="shared" si="15"/>
        <v>0</v>
      </c>
    </row>
    <row r="988" spans="1:16" ht="15.75" customHeight="1" x14ac:dyDescent="0.35">
      <c r="A988" s="13">
        <v>987</v>
      </c>
      <c r="B988" s="14">
        <v>45967</v>
      </c>
      <c r="C988" s="15"/>
      <c r="D988" s="18" t="s">
        <v>32</v>
      </c>
      <c r="E988" s="17">
        <v>21000</v>
      </c>
      <c r="F988" s="13">
        <v>180</v>
      </c>
      <c r="G988" s="13">
        <v>422</v>
      </c>
      <c r="H988" s="19">
        <v>1200000</v>
      </c>
      <c r="I988" s="19">
        <v>600000</v>
      </c>
      <c r="J988" s="20" t="s">
        <v>33</v>
      </c>
      <c r="K988" s="13">
        <v>43</v>
      </c>
      <c r="L988" s="18" t="s">
        <v>38</v>
      </c>
      <c r="M988" s="18" t="s">
        <v>72</v>
      </c>
      <c r="N988" s="16" t="s">
        <v>36</v>
      </c>
      <c r="O988" t="str">
        <f>IF(TRIM(J988)="","NULL",IFERROR(VLOOKUP(TRIM(J988),Lookup_PropertyType!$A:$B,2,FALSE()),"other"))</f>
        <v>apartment</v>
      </c>
      <c r="P988">
        <f t="shared" si="15"/>
        <v>0</v>
      </c>
    </row>
    <row r="989" spans="1:16" ht="15.75" customHeight="1" x14ac:dyDescent="0.35">
      <c r="A989" s="13">
        <v>988</v>
      </c>
      <c r="B989" s="14">
        <v>45967</v>
      </c>
      <c r="C989" s="15"/>
      <c r="D989" s="18" t="s">
        <v>32</v>
      </c>
      <c r="E989" s="17">
        <v>21000</v>
      </c>
      <c r="F989" s="13">
        <v>120</v>
      </c>
      <c r="G989" s="13">
        <v>891</v>
      </c>
      <c r="H989" s="19">
        <v>700000</v>
      </c>
      <c r="I989" s="19">
        <v>240000</v>
      </c>
      <c r="J989" s="20" t="s">
        <v>37</v>
      </c>
      <c r="K989" s="13">
        <v>46</v>
      </c>
      <c r="L989" s="18" t="s">
        <v>38</v>
      </c>
      <c r="M989" s="18" t="s">
        <v>72</v>
      </c>
      <c r="N989" s="16" t="s">
        <v>42</v>
      </c>
      <c r="O989" t="str">
        <f>IF(TRIM(J989)="","NULL",IFERROR(VLOOKUP(TRIM(J989),Lookup_PropertyType!$A:$B,2,FALSE()),"other"))</f>
        <v>house</v>
      </c>
      <c r="P989">
        <f t="shared" si="15"/>
        <v>0</v>
      </c>
    </row>
    <row r="990" spans="1:16" ht="15.75" customHeight="1" x14ac:dyDescent="0.35">
      <c r="A990" s="13">
        <v>989</v>
      </c>
      <c r="B990" s="14">
        <v>45975</v>
      </c>
      <c r="C990" s="14">
        <v>46047</v>
      </c>
      <c r="D990" s="18" t="s">
        <v>69</v>
      </c>
      <c r="E990" s="17">
        <v>30000</v>
      </c>
      <c r="F990" s="13">
        <v>180</v>
      </c>
      <c r="G990" s="13">
        <v>774</v>
      </c>
      <c r="H990" s="19">
        <v>900000</v>
      </c>
      <c r="I990" s="19">
        <v>30000</v>
      </c>
      <c r="J990" s="20" t="s">
        <v>33</v>
      </c>
      <c r="K990" s="13">
        <v>50</v>
      </c>
      <c r="L990" s="18" t="s">
        <v>38</v>
      </c>
      <c r="M990" s="18" t="s">
        <v>48</v>
      </c>
      <c r="N990" s="16" t="s">
        <v>50</v>
      </c>
      <c r="O990" t="str">
        <f>IF(TRIM(J990)="","NULL",IFERROR(VLOOKUP(TRIM(J990),Lookup_PropertyType!$A:$B,2,FALSE()),"other"))</f>
        <v>apartment</v>
      </c>
      <c r="P990">
        <f t="shared" si="15"/>
        <v>1</v>
      </c>
    </row>
    <row r="991" spans="1:16" ht="15.75" customHeight="1" x14ac:dyDescent="0.35">
      <c r="A991" s="13">
        <v>990</v>
      </c>
      <c r="B991" s="14">
        <v>46012</v>
      </c>
      <c r="C991" s="15"/>
      <c r="D991" s="18" t="s">
        <v>32</v>
      </c>
      <c r="E991" s="17">
        <v>8300</v>
      </c>
      <c r="F991" s="13">
        <v>180</v>
      </c>
      <c r="G991" s="13">
        <v>400</v>
      </c>
      <c r="H991" s="19">
        <v>300000</v>
      </c>
      <c r="I991" s="19">
        <v>150000</v>
      </c>
      <c r="J991" s="20" t="s">
        <v>33</v>
      </c>
      <c r="K991" s="13">
        <v>42</v>
      </c>
      <c r="L991" s="18" t="s">
        <v>38</v>
      </c>
      <c r="M991" s="21" t="s">
        <v>39</v>
      </c>
      <c r="N991" s="16" t="s">
        <v>42</v>
      </c>
      <c r="O991" t="str">
        <f>IF(TRIM(J991)="","NULL",IFERROR(VLOOKUP(TRIM(J991),Lookup_PropertyType!$A:$B,2,FALSE()),"other"))</f>
        <v>apartment</v>
      </c>
      <c r="P991">
        <f t="shared" si="15"/>
        <v>0</v>
      </c>
    </row>
    <row r="992" spans="1:16" ht="15.75" customHeight="1" x14ac:dyDescent="0.35">
      <c r="A992" s="13">
        <v>991</v>
      </c>
      <c r="B992" s="14">
        <v>45962</v>
      </c>
      <c r="C992" s="15"/>
      <c r="D992" s="18" t="s">
        <v>32</v>
      </c>
      <c r="E992" s="17">
        <v>50000</v>
      </c>
      <c r="F992" s="13">
        <v>180</v>
      </c>
      <c r="G992" s="13">
        <v>445</v>
      </c>
      <c r="H992" s="19">
        <v>1000000</v>
      </c>
      <c r="I992" s="19">
        <v>540000</v>
      </c>
      <c r="J992" s="20" t="s">
        <v>37</v>
      </c>
      <c r="K992" s="13">
        <v>70</v>
      </c>
      <c r="L992" s="18" t="s">
        <v>38</v>
      </c>
      <c r="M992" s="18" t="s">
        <v>35</v>
      </c>
      <c r="N992" s="16"/>
      <c r="O992" t="str">
        <f>IF(TRIM(J992)="","NULL",IFERROR(VLOOKUP(TRIM(J992),Lookup_PropertyType!$A:$B,2,FALSE()),"other"))</f>
        <v>house</v>
      </c>
      <c r="P992">
        <f t="shared" si="15"/>
        <v>0</v>
      </c>
    </row>
    <row r="993" spans="1:16" ht="15.75" customHeight="1" x14ac:dyDescent="0.35">
      <c r="A993" s="13">
        <v>992</v>
      </c>
      <c r="B993" s="14">
        <v>45975</v>
      </c>
      <c r="C993" s="15"/>
      <c r="D993" s="18" t="s">
        <v>49</v>
      </c>
      <c r="E993" s="17">
        <v>40000</v>
      </c>
      <c r="F993" s="13">
        <v>180</v>
      </c>
      <c r="G993" s="13">
        <v>376</v>
      </c>
      <c r="H993" s="19">
        <v>3200000</v>
      </c>
      <c r="I993" s="19">
        <v>1500000</v>
      </c>
      <c r="J993" s="20" t="s">
        <v>37</v>
      </c>
      <c r="K993" s="13">
        <v>41</v>
      </c>
      <c r="L993" s="18" t="s">
        <v>45</v>
      </c>
      <c r="M993" s="21" t="s">
        <v>39</v>
      </c>
      <c r="N993" s="16" t="s">
        <v>36</v>
      </c>
      <c r="O993" t="str">
        <f>IF(TRIM(J993)="","NULL",IFERROR(VLOOKUP(TRIM(J993),Lookup_PropertyType!$A:$B,2,FALSE()),"other"))</f>
        <v>house</v>
      </c>
      <c r="P993">
        <f t="shared" si="15"/>
        <v>0</v>
      </c>
    </row>
    <row r="994" spans="1:16" ht="15.75" customHeight="1" x14ac:dyDescent="0.35">
      <c r="A994" s="13">
        <v>993</v>
      </c>
      <c r="B994" s="14">
        <v>45969</v>
      </c>
      <c r="C994" s="15"/>
      <c r="D994" s="18" t="s">
        <v>32</v>
      </c>
      <c r="E994" s="17">
        <v>18000</v>
      </c>
      <c r="F994" s="13">
        <v>180</v>
      </c>
      <c r="G994" s="13">
        <v>870</v>
      </c>
      <c r="H994" s="19">
        <v>700000</v>
      </c>
      <c r="I994" s="19">
        <v>120000</v>
      </c>
      <c r="J994" s="20" t="s">
        <v>37</v>
      </c>
      <c r="K994" s="13">
        <v>55</v>
      </c>
      <c r="L994" s="18" t="s">
        <v>38</v>
      </c>
      <c r="M994" s="21" t="s">
        <v>35</v>
      </c>
      <c r="N994" s="18" t="s">
        <v>36</v>
      </c>
      <c r="O994" t="str">
        <f>IF(TRIM(J994)="","NULL",IFERROR(VLOOKUP(TRIM(J994),Lookup_PropertyType!$A:$B,2,FALSE()),"other"))</f>
        <v>house</v>
      </c>
      <c r="P994">
        <f t="shared" si="15"/>
        <v>0</v>
      </c>
    </row>
    <row r="995" spans="1:16" ht="15.75" customHeight="1" x14ac:dyDescent="0.35">
      <c r="A995" s="13">
        <v>994</v>
      </c>
      <c r="B995" s="14">
        <v>45983</v>
      </c>
      <c r="C995" s="15"/>
      <c r="D995" s="18" t="s">
        <v>49</v>
      </c>
      <c r="E995" s="17">
        <v>21000</v>
      </c>
      <c r="F995" s="13">
        <v>120</v>
      </c>
      <c r="G995" s="13">
        <v>355</v>
      </c>
      <c r="H995" s="19">
        <v>680000</v>
      </c>
      <c r="I995" s="19">
        <v>300000</v>
      </c>
      <c r="J995" s="20" t="s">
        <v>37</v>
      </c>
      <c r="K995" s="13">
        <v>45</v>
      </c>
      <c r="L995" s="18" t="s">
        <v>41</v>
      </c>
      <c r="M995" s="21" t="s">
        <v>39</v>
      </c>
      <c r="N995" s="18" t="s">
        <v>51</v>
      </c>
      <c r="O995" t="str">
        <f>IF(TRIM(J995)="","NULL",IFERROR(VLOOKUP(TRIM(J995),Lookup_PropertyType!$A:$B,2,FALSE()),"other"))</f>
        <v>house</v>
      </c>
      <c r="P995">
        <f t="shared" si="15"/>
        <v>0</v>
      </c>
    </row>
    <row r="996" spans="1:16" ht="15.75" customHeight="1" x14ac:dyDescent="0.35">
      <c r="A996" s="13">
        <v>995</v>
      </c>
      <c r="B996" s="14">
        <v>45975</v>
      </c>
      <c r="C996" s="15"/>
      <c r="D996" s="18" t="s">
        <v>32</v>
      </c>
      <c r="E996" s="17">
        <v>3500</v>
      </c>
      <c r="F996" s="13">
        <v>120</v>
      </c>
      <c r="G996" s="13">
        <v>379</v>
      </c>
      <c r="H996" s="19">
        <v>220000</v>
      </c>
      <c r="I996" s="19">
        <v>30000</v>
      </c>
      <c r="J996" s="20" t="s">
        <v>33</v>
      </c>
      <c r="K996" s="13">
        <v>43</v>
      </c>
      <c r="L996" s="18" t="s">
        <v>38</v>
      </c>
      <c r="M996" s="18" t="s">
        <v>72</v>
      </c>
      <c r="N996" s="16" t="s">
        <v>50</v>
      </c>
      <c r="O996" t="str">
        <f>IF(TRIM(J996)="","NULL",IFERROR(VLOOKUP(TRIM(J996),Lookup_PropertyType!$A:$B,2,FALSE()),"other"))</f>
        <v>apartment</v>
      </c>
      <c r="P996">
        <f t="shared" si="15"/>
        <v>0</v>
      </c>
    </row>
    <row r="997" spans="1:16" ht="15.75" customHeight="1" x14ac:dyDescent="0.35">
      <c r="A997" s="13">
        <v>996</v>
      </c>
      <c r="B997" s="14">
        <v>45989</v>
      </c>
      <c r="C997" s="14">
        <v>46045</v>
      </c>
      <c r="D997" s="18" t="s">
        <v>32</v>
      </c>
      <c r="E997" s="17">
        <v>15000</v>
      </c>
      <c r="F997" s="13">
        <v>90</v>
      </c>
      <c r="G997" s="13">
        <v>568</v>
      </c>
      <c r="H997" s="19">
        <v>550000</v>
      </c>
      <c r="I997" s="19">
        <v>50000</v>
      </c>
      <c r="J997" s="20" t="s">
        <v>37</v>
      </c>
      <c r="K997" s="13">
        <v>52</v>
      </c>
      <c r="L997" s="18" t="s">
        <v>38</v>
      </c>
      <c r="M997" s="21" t="s">
        <v>39</v>
      </c>
      <c r="N997" s="18" t="s">
        <v>42</v>
      </c>
      <c r="O997" t="str">
        <f>IF(TRIM(J997)="","NULL",IFERROR(VLOOKUP(TRIM(J997),Lookup_PropertyType!$A:$B,2,FALSE()),"other"))</f>
        <v>house</v>
      </c>
      <c r="P997">
        <f t="shared" si="15"/>
        <v>1</v>
      </c>
    </row>
    <row r="998" spans="1:16" ht="15.75" customHeight="1" x14ac:dyDescent="0.35">
      <c r="A998" s="13">
        <v>997</v>
      </c>
      <c r="B998" s="14">
        <v>45985</v>
      </c>
      <c r="C998" s="14">
        <v>46013</v>
      </c>
      <c r="D998" s="18" t="s">
        <v>32</v>
      </c>
      <c r="E998" s="17">
        <v>9000</v>
      </c>
      <c r="F998" s="13">
        <v>180</v>
      </c>
      <c r="G998" s="13">
        <v>948</v>
      </c>
      <c r="H998" s="19">
        <v>350000</v>
      </c>
      <c r="I998" s="19">
        <v>120000</v>
      </c>
      <c r="J998" s="20" t="s">
        <v>37</v>
      </c>
      <c r="K998" s="13">
        <v>48</v>
      </c>
      <c r="L998" s="18" t="s">
        <v>38</v>
      </c>
      <c r="M998" s="21" t="s">
        <v>39</v>
      </c>
      <c r="N998" s="16" t="s">
        <v>50</v>
      </c>
      <c r="O998" t="str">
        <f>IF(TRIM(J998)="","NULL",IFERROR(VLOOKUP(TRIM(J998),Lookup_PropertyType!$A:$B,2,FALSE()),"other"))</f>
        <v>house</v>
      </c>
      <c r="P998">
        <f t="shared" si="15"/>
        <v>1</v>
      </c>
    </row>
    <row r="999" spans="1:16" ht="15.75" customHeight="1" x14ac:dyDescent="0.35">
      <c r="A999" s="13">
        <v>998</v>
      </c>
      <c r="B999" s="14">
        <v>45990</v>
      </c>
      <c r="C999" s="14">
        <v>46041</v>
      </c>
      <c r="D999" s="18" t="s">
        <v>44</v>
      </c>
      <c r="E999" s="17">
        <v>14000</v>
      </c>
      <c r="F999" s="13">
        <v>180</v>
      </c>
      <c r="G999" s="13">
        <v>433</v>
      </c>
      <c r="H999" s="19">
        <v>250000</v>
      </c>
      <c r="I999" s="19">
        <v>30000</v>
      </c>
      <c r="J999" s="20" t="s">
        <v>33</v>
      </c>
      <c r="K999" s="13">
        <v>37</v>
      </c>
      <c r="L999" s="18" t="s">
        <v>38</v>
      </c>
      <c r="M999" s="21" t="s">
        <v>35</v>
      </c>
      <c r="N999" s="18" t="s">
        <v>36</v>
      </c>
      <c r="O999" t="str">
        <f>IF(TRIM(J999)="","NULL",IFERROR(VLOOKUP(TRIM(J999),Lookup_PropertyType!$A:$B,2,FALSE()),"other"))</f>
        <v>apartment</v>
      </c>
      <c r="P999">
        <f t="shared" si="15"/>
        <v>1</v>
      </c>
    </row>
    <row r="1000" spans="1:16" ht="15.75" customHeight="1" x14ac:dyDescent="0.35">
      <c r="A1000" s="13">
        <v>999</v>
      </c>
      <c r="B1000" s="14">
        <v>45975</v>
      </c>
      <c r="C1000" s="15"/>
      <c r="D1000" s="18" t="s">
        <v>32</v>
      </c>
      <c r="E1000" s="17">
        <v>20000</v>
      </c>
      <c r="F1000" s="13">
        <v>150</v>
      </c>
      <c r="G1000" s="13">
        <v>397</v>
      </c>
      <c r="H1000" s="19">
        <v>900000</v>
      </c>
      <c r="I1000" s="19">
        <v>40000</v>
      </c>
      <c r="J1000" s="20" t="s">
        <v>37</v>
      </c>
      <c r="K1000" s="13">
        <v>57</v>
      </c>
      <c r="L1000" s="18" t="s">
        <v>59</v>
      </c>
      <c r="M1000" s="21" t="s">
        <v>54</v>
      </c>
      <c r="N1000" s="18" t="s">
        <v>40</v>
      </c>
      <c r="O1000" t="str">
        <f>IF(TRIM(J1000)="","NULL",IFERROR(VLOOKUP(TRIM(J1000),Lookup_PropertyType!$A:$B,2,FALSE()),"other"))</f>
        <v>house</v>
      </c>
      <c r="P1000">
        <f t="shared" si="15"/>
        <v>0</v>
      </c>
    </row>
    <row r="1001" spans="1:16" ht="15.75" customHeight="1" x14ac:dyDescent="0.35">
      <c r="A1001" s="13">
        <v>1000</v>
      </c>
      <c r="B1001" s="14">
        <v>45983</v>
      </c>
      <c r="C1001" s="15"/>
      <c r="D1001" s="18" t="s">
        <v>83</v>
      </c>
      <c r="E1001" s="17">
        <v>15000</v>
      </c>
      <c r="F1001" s="13">
        <v>180</v>
      </c>
      <c r="G1001" s="13">
        <v>636</v>
      </c>
      <c r="H1001" s="19">
        <v>360000</v>
      </c>
      <c r="I1001" s="19">
        <v>80000</v>
      </c>
      <c r="J1001" s="20" t="s">
        <v>33</v>
      </c>
      <c r="K1001" s="13">
        <v>59</v>
      </c>
      <c r="L1001" s="18" t="s">
        <v>38</v>
      </c>
      <c r="M1001" s="21" t="s">
        <v>39</v>
      </c>
      <c r="N1001" s="18" t="s">
        <v>43</v>
      </c>
      <c r="O1001" t="str">
        <f>IF(TRIM(J1001)="","NULL",IFERROR(VLOOKUP(TRIM(J1001),Lookup_PropertyType!$A:$B,2,FALSE()),"other"))</f>
        <v>apartment</v>
      </c>
      <c r="P1001">
        <f t="shared" si="15"/>
        <v>0</v>
      </c>
    </row>
    <row r="1002" spans="1:16" ht="15.75" customHeight="1" x14ac:dyDescent="0.35">
      <c r="A1002" s="13">
        <v>1001</v>
      </c>
      <c r="B1002" s="14">
        <v>45970</v>
      </c>
      <c r="C1002" s="15"/>
      <c r="D1002" s="18" t="s">
        <v>32</v>
      </c>
      <c r="E1002" s="17">
        <v>10000</v>
      </c>
      <c r="F1002" s="13">
        <v>180</v>
      </c>
      <c r="G1002" s="13">
        <v>921</v>
      </c>
      <c r="H1002" s="19">
        <v>300000</v>
      </c>
      <c r="I1002" s="19">
        <v>80000</v>
      </c>
      <c r="J1002" s="20" t="s">
        <v>37</v>
      </c>
      <c r="K1002" s="13">
        <v>38</v>
      </c>
      <c r="L1002" s="18" t="s">
        <v>38</v>
      </c>
      <c r="M1002" s="21" t="s">
        <v>39</v>
      </c>
      <c r="N1002" s="18" t="s">
        <v>36</v>
      </c>
      <c r="O1002" t="str">
        <f>IF(TRIM(J1002)="","NULL",IFERROR(VLOOKUP(TRIM(J1002),Lookup_PropertyType!$A:$B,2,FALSE()),"other"))</f>
        <v>house</v>
      </c>
      <c r="P1002">
        <f t="shared" si="15"/>
        <v>0</v>
      </c>
    </row>
    <row r="1003" spans="1:16" ht="15.75" customHeight="1" x14ac:dyDescent="0.35">
      <c r="A1003" s="13">
        <v>1002</v>
      </c>
      <c r="B1003" s="14">
        <v>45999</v>
      </c>
      <c r="C1003" s="15"/>
      <c r="D1003" s="18" t="s">
        <v>32</v>
      </c>
      <c r="E1003" s="17">
        <v>10000</v>
      </c>
      <c r="F1003" s="13">
        <v>180</v>
      </c>
      <c r="G1003" s="13">
        <v>464</v>
      </c>
      <c r="H1003" s="19">
        <v>650000</v>
      </c>
      <c r="I1003" s="19">
        <v>100000</v>
      </c>
      <c r="J1003" s="20" t="s">
        <v>33</v>
      </c>
      <c r="K1003" s="13">
        <v>50</v>
      </c>
      <c r="L1003" s="18" t="s">
        <v>38</v>
      </c>
      <c r="M1003" s="21" t="s">
        <v>54</v>
      </c>
      <c r="N1003" s="18" t="s">
        <v>36</v>
      </c>
      <c r="O1003" t="str">
        <f>IF(TRIM(J1003)="","NULL",IFERROR(VLOOKUP(TRIM(J1003),Lookup_PropertyType!$A:$B,2,FALSE()),"other"))</f>
        <v>apartment</v>
      </c>
      <c r="P1003">
        <f t="shared" si="15"/>
        <v>0</v>
      </c>
    </row>
    <row r="1004" spans="1:16" ht="15.75" customHeight="1" x14ac:dyDescent="0.35">
      <c r="A1004" s="13">
        <v>1003</v>
      </c>
      <c r="B1004" s="14">
        <v>45971</v>
      </c>
      <c r="C1004" s="15"/>
      <c r="D1004" s="18" t="s">
        <v>32</v>
      </c>
      <c r="E1004" s="17">
        <v>25000</v>
      </c>
      <c r="F1004" s="13">
        <v>180</v>
      </c>
      <c r="G1004" s="13">
        <v>400</v>
      </c>
      <c r="H1004" s="19">
        <v>800000</v>
      </c>
      <c r="I1004" s="19">
        <v>300000</v>
      </c>
      <c r="J1004" s="20" t="s">
        <v>33</v>
      </c>
      <c r="K1004" s="13">
        <v>37</v>
      </c>
      <c r="L1004" s="18" t="s">
        <v>64</v>
      </c>
      <c r="M1004" s="21" t="s">
        <v>54</v>
      </c>
      <c r="N1004" s="18" t="s">
        <v>36</v>
      </c>
      <c r="O1004" t="str">
        <f>IF(TRIM(J1004)="","NULL",IFERROR(VLOOKUP(TRIM(J1004),Lookup_PropertyType!$A:$B,2,FALSE()),"other"))</f>
        <v>apartment</v>
      </c>
      <c r="P1004">
        <f t="shared" si="15"/>
        <v>0</v>
      </c>
    </row>
    <row r="1005" spans="1:16" ht="15.75" customHeight="1" x14ac:dyDescent="0.35">
      <c r="A1005" s="13">
        <v>1004</v>
      </c>
      <c r="B1005" s="14">
        <v>45971</v>
      </c>
      <c r="C1005" s="14">
        <v>46081</v>
      </c>
      <c r="D1005" s="18" t="s">
        <v>46</v>
      </c>
      <c r="E1005" s="17">
        <v>13000</v>
      </c>
      <c r="F1005" s="13">
        <v>180</v>
      </c>
      <c r="G1005" s="13">
        <v>243</v>
      </c>
      <c r="H1005" s="19">
        <v>800000</v>
      </c>
      <c r="I1005" s="19">
        <v>120000</v>
      </c>
      <c r="J1005" s="20" t="s">
        <v>37</v>
      </c>
      <c r="K1005" s="13">
        <v>50</v>
      </c>
      <c r="L1005" s="18" t="s">
        <v>38</v>
      </c>
      <c r="M1005" s="21" t="s">
        <v>39</v>
      </c>
      <c r="N1005" s="18" t="s">
        <v>36</v>
      </c>
      <c r="O1005" t="str">
        <f>IF(TRIM(J1005)="","NULL",IFERROR(VLOOKUP(TRIM(J1005),Lookup_PropertyType!$A:$B,2,FALSE()),"other"))</f>
        <v>house</v>
      </c>
      <c r="P1005">
        <f t="shared" si="15"/>
        <v>1</v>
      </c>
    </row>
    <row r="1006" spans="1:16" ht="15.75" customHeight="1" x14ac:dyDescent="0.35">
      <c r="A1006" s="13">
        <v>1005</v>
      </c>
      <c r="B1006" s="14">
        <v>45990</v>
      </c>
      <c r="C1006" s="15"/>
      <c r="D1006" s="18" t="s">
        <v>58</v>
      </c>
      <c r="E1006" s="17">
        <v>15000</v>
      </c>
      <c r="F1006" s="13">
        <v>180</v>
      </c>
      <c r="G1006" s="13">
        <v>416</v>
      </c>
      <c r="H1006" s="19">
        <v>600000</v>
      </c>
      <c r="I1006" s="19">
        <v>100000</v>
      </c>
      <c r="J1006" s="20" t="s">
        <v>37</v>
      </c>
      <c r="K1006" s="13">
        <v>47</v>
      </c>
      <c r="L1006" s="18" t="s">
        <v>59</v>
      </c>
      <c r="M1006" s="21" t="s">
        <v>54</v>
      </c>
      <c r="N1006" s="16" t="s">
        <v>51</v>
      </c>
      <c r="O1006" t="str">
        <f>IF(TRIM(J1006)="","NULL",IFERROR(VLOOKUP(TRIM(J1006),Lookup_PropertyType!$A:$B,2,FALSE()),"other"))</f>
        <v>house</v>
      </c>
      <c r="P1006">
        <f t="shared" si="15"/>
        <v>0</v>
      </c>
    </row>
    <row r="1007" spans="1:16" ht="15.75" customHeight="1" x14ac:dyDescent="0.35">
      <c r="A1007" s="13">
        <v>1006</v>
      </c>
      <c r="B1007" s="14">
        <v>45977</v>
      </c>
      <c r="C1007" s="15"/>
      <c r="D1007" s="18" t="s">
        <v>32</v>
      </c>
      <c r="E1007" s="17">
        <v>30000</v>
      </c>
      <c r="F1007" s="13">
        <v>120</v>
      </c>
      <c r="G1007" s="13">
        <v>788</v>
      </c>
      <c r="H1007" s="19">
        <v>450000</v>
      </c>
      <c r="I1007" s="19">
        <v>140000</v>
      </c>
      <c r="J1007" s="20" t="s">
        <v>33</v>
      </c>
      <c r="K1007" s="13">
        <v>43</v>
      </c>
      <c r="L1007" s="18" t="s">
        <v>59</v>
      </c>
      <c r="M1007" s="21" t="s">
        <v>39</v>
      </c>
      <c r="N1007" s="16" t="s">
        <v>42</v>
      </c>
      <c r="O1007" t="str">
        <f>IF(TRIM(J1007)="","NULL",IFERROR(VLOOKUP(TRIM(J1007),Lookup_PropertyType!$A:$B,2,FALSE()),"other"))</f>
        <v>apartment</v>
      </c>
      <c r="P1007">
        <f t="shared" si="15"/>
        <v>0</v>
      </c>
    </row>
    <row r="1008" spans="1:16" ht="15.75" customHeight="1" x14ac:dyDescent="0.35">
      <c r="A1008" s="13">
        <v>1007</v>
      </c>
      <c r="B1008" s="14">
        <v>45984</v>
      </c>
      <c r="C1008" s="15"/>
      <c r="D1008" s="18" t="s">
        <v>32</v>
      </c>
      <c r="E1008" s="17">
        <v>7700</v>
      </c>
      <c r="F1008" s="13">
        <v>120</v>
      </c>
      <c r="G1008" s="13">
        <v>537</v>
      </c>
      <c r="H1008" s="19">
        <v>750000</v>
      </c>
      <c r="I1008" s="19">
        <v>150000</v>
      </c>
      <c r="J1008" s="20" t="s">
        <v>33</v>
      </c>
      <c r="K1008" s="13">
        <v>56</v>
      </c>
      <c r="L1008" s="18" t="s">
        <v>38</v>
      </c>
      <c r="M1008" s="21" t="s">
        <v>39</v>
      </c>
      <c r="N1008" s="16" t="s">
        <v>42</v>
      </c>
      <c r="O1008" t="str">
        <f>IF(TRIM(J1008)="","NULL",IFERROR(VLOOKUP(TRIM(J1008),Lookup_PropertyType!$A:$B,2,FALSE()),"other"))</f>
        <v>apartment</v>
      </c>
      <c r="P1008">
        <f t="shared" si="15"/>
        <v>0</v>
      </c>
    </row>
    <row r="1009" spans="1:16" ht="15.75" customHeight="1" x14ac:dyDescent="0.35">
      <c r="A1009" s="13">
        <v>1008</v>
      </c>
      <c r="B1009" s="14">
        <v>45977</v>
      </c>
      <c r="C1009" s="14">
        <v>46086</v>
      </c>
      <c r="D1009" s="18" t="s">
        <v>32</v>
      </c>
      <c r="E1009" s="17">
        <v>15000</v>
      </c>
      <c r="F1009" s="13">
        <v>180</v>
      </c>
      <c r="G1009" s="13">
        <v>843</v>
      </c>
      <c r="H1009" s="19">
        <v>350000</v>
      </c>
      <c r="I1009" s="19">
        <v>100000</v>
      </c>
      <c r="J1009" s="20" t="s">
        <v>33</v>
      </c>
      <c r="K1009" s="13">
        <v>31</v>
      </c>
      <c r="L1009" s="18" t="s">
        <v>41</v>
      </c>
      <c r="M1009" s="21" t="s">
        <v>39</v>
      </c>
      <c r="N1009" s="16" t="s">
        <v>36</v>
      </c>
      <c r="O1009" t="str">
        <f>IF(TRIM(J1009)="","NULL",IFERROR(VLOOKUP(TRIM(J1009),Lookup_PropertyType!$A:$B,2,FALSE()),"other"))</f>
        <v>apartment</v>
      </c>
      <c r="P1009">
        <f t="shared" si="15"/>
        <v>1</v>
      </c>
    </row>
    <row r="1010" spans="1:16" ht="15.75" customHeight="1" x14ac:dyDescent="0.35">
      <c r="A1010" s="13">
        <v>1009</v>
      </c>
      <c r="B1010" s="14">
        <v>45978</v>
      </c>
      <c r="C1010" s="15"/>
      <c r="D1010" s="18" t="s">
        <v>44</v>
      </c>
      <c r="E1010" s="17">
        <v>22000</v>
      </c>
      <c r="F1010" s="13">
        <v>180</v>
      </c>
      <c r="G1010" s="13">
        <v>566</v>
      </c>
      <c r="H1010" s="19">
        <v>600000</v>
      </c>
      <c r="I1010" s="19">
        <v>100000</v>
      </c>
      <c r="J1010" s="20" t="s">
        <v>33</v>
      </c>
      <c r="K1010" s="13">
        <v>69</v>
      </c>
      <c r="L1010" s="18" t="s">
        <v>64</v>
      </c>
      <c r="M1010" s="18" t="s">
        <v>39</v>
      </c>
      <c r="N1010" s="16" t="s">
        <v>43</v>
      </c>
      <c r="O1010" t="str">
        <f>IF(TRIM(J1010)="","NULL",IFERROR(VLOOKUP(TRIM(J1010),Lookup_PropertyType!$A:$B,2,FALSE()),"other"))</f>
        <v>apartment</v>
      </c>
      <c r="P1010">
        <f t="shared" si="15"/>
        <v>0</v>
      </c>
    </row>
    <row r="1011" spans="1:16" ht="15.75" customHeight="1" x14ac:dyDescent="0.35">
      <c r="A1011" s="13">
        <v>1010</v>
      </c>
      <c r="B1011" s="14">
        <v>45984</v>
      </c>
      <c r="C1011" s="15"/>
      <c r="D1011" s="18" t="s">
        <v>32</v>
      </c>
      <c r="E1011" s="17">
        <v>4000</v>
      </c>
      <c r="F1011" s="13">
        <v>150</v>
      </c>
      <c r="G1011" s="13">
        <v>694</v>
      </c>
      <c r="H1011" s="19">
        <v>180000</v>
      </c>
      <c r="I1011" s="19">
        <v>30000</v>
      </c>
      <c r="J1011" s="20" t="s">
        <v>33</v>
      </c>
      <c r="K1011" s="13">
        <v>37</v>
      </c>
      <c r="L1011" s="18" t="s">
        <v>38</v>
      </c>
      <c r="M1011" s="21" t="s">
        <v>39</v>
      </c>
      <c r="N1011" s="16" t="s">
        <v>42</v>
      </c>
      <c r="O1011" t="str">
        <f>IF(TRIM(J1011)="","NULL",IFERROR(VLOOKUP(TRIM(J1011),Lookup_PropertyType!$A:$B,2,FALSE()),"other"))</f>
        <v>apartment</v>
      </c>
      <c r="P1011">
        <f t="shared" si="15"/>
        <v>0</v>
      </c>
    </row>
    <row r="1012" spans="1:16" ht="15.75" customHeight="1" x14ac:dyDescent="0.35">
      <c r="A1012" s="13">
        <v>1011</v>
      </c>
      <c r="B1012" s="14">
        <v>45978</v>
      </c>
      <c r="C1012" s="15"/>
      <c r="D1012" s="18" t="s">
        <v>58</v>
      </c>
      <c r="E1012" s="17">
        <v>12500</v>
      </c>
      <c r="F1012" s="13">
        <v>180</v>
      </c>
      <c r="G1012" s="13">
        <v>736</v>
      </c>
      <c r="H1012" s="19">
        <v>350000</v>
      </c>
      <c r="I1012" s="19">
        <v>200000</v>
      </c>
      <c r="J1012" s="20" t="s">
        <v>37</v>
      </c>
      <c r="K1012" s="13">
        <v>51</v>
      </c>
      <c r="L1012" s="18" t="s">
        <v>64</v>
      </c>
      <c r="M1012" s="21" t="s">
        <v>39</v>
      </c>
      <c r="N1012" s="16" t="s">
        <v>36</v>
      </c>
      <c r="O1012" t="str">
        <f>IF(TRIM(J1012)="","NULL",IFERROR(VLOOKUP(TRIM(J1012),Lookup_PropertyType!$A:$B,2,FALSE()),"other"))</f>
        <v>house</v>
      </c>
      <c r="P1012">
        <f t="shared" si="15"/>
        <v>0</v>
      </c>
    </row>
    <row r="1013" spans="1:16" ht="15.75" customHeight="1" x14ac:dyDescent="0.35">
      <c r="A1013" s="13">
        <v>1012</v>
      </c>
      <c r="B1013" s="14">
        <v>45977</v>
      </c>
      <c r="C1013" s="14">
        <v>46017</v>
      </c>
      <c r="D1013" s="18" t="s">
        <v>32</v>
      </c>
      <c r="E1013" s="17">
        <v>15000</v>
      </c>
      <c r="F1013" s="13">
        <v>90</v>
      </c>
      <c r="G1013" s="13">
        <v>972</v>
      </c>
      <c r="H1013" s="19">
        <v>450000</v>
      </c>
      <c r="I1013" s="19">
        <v>60000</v>
      </c>
      <c r="J1013" s="20" t="s">
        <v>33</v>
      </c>
      <c r="K1013" s="13">
        <v>61</v>
      </c>
      <c r="L1013" s="18" t="s">
        <v>38</v>
      </c>
      <c r="M1013" s="21" t="s">
        <v>39</v>
      </c>
      <c r="N1013" s="16" t="s">
        <v>36</v>
      </c>
      <c r="O1013" t="str">
        <f>IF(TRIM(J1013)="","NULL",IFERROR(VLOOKUP(TRIM(J1013),Lookup_PropertyType!$A:$B,2,FALSE()),"other"))</f>
        <v>apartment</v>
      </c>
      <c r="P1013">
        <f t="shared" si="15"/>
        <v>1</v>
      </c>
    </row>
    <row r="1014" spans="1:16" ht="15.75" customHeight="1" x14ac:dyDescent="0.35">
      <c r="A1014" s="13">
        <v>1013</v>
      </c>
      <c r="B1014" s="14">
        <v>45974</v>
      </c>
      <c r="C1014" s="15"/>
      <c r="D1014" s="18" t="s">
        <v>32</v>
      </c>
      <c r="E1014" s="17">
        <v>15000</v>
      </c>
      <c r="F1014" s="13">
        <v>150</v>
      </c>
      <c r="G1014" s="13">
        <v>396</v>
      </c>
      <c r="H1014" s="19">
        <v>550000</v>
      </c>
      <c r="I1014" s="19">
        <v>200000</v>
      </c>
      <c r="J1014" s="20" t="s">
        <v>33</v>
      </c>
      <c r="K1014" s="13">
        <v>39</v>
      </c>
      <c r="L1014" s="18" t="s">
        <v>38</v>
      </c>
      <c r="M1014" s="21" t="s">
        <v>35</v>
      </c>
      <c r="N1014" s="16" t="s">
        <v>36</v>
      </c>
      <c r="O1014" t="str">
        <f>IF(TRIM(J1014)="","NULL",IFERROR(VLOOKUP(TRIM(J1014),Lookup_PropertyType!$A:$B,2,FALSE()),"other"))</f>
        <v>apartment</v>
      </c>
      <c r="P1014">
        <f t="shared" si="15"/>
        <v>0</v>
      </c>
    </row>
    <row r="1015" spans="1:16" ht="15.75" customHeight="1" x14ac:dyDescent="0.35">
      <c r="A1015" s="13">
        <v>1014</v>
      </c>
      <c r="B1015" s="14">
        <v>45977</v>
      </c>
      <c r="C1015" s="15"/>
      <c r="D1015" s="18" t="s">
        <v>55</v>
      </c>
      <c r="E1015" s="17">
        <v>10000</v>
      </c>
      <c r="F1015" s="13">
        <v>90</v>
      </c>
      <c r="G1015" s="13">
        <v>440</v>
      </c>
      <c r="H1015" s="19">
        <v>200000</v>
      </c>
      <c r="I1015" s="19">
        <v>80000</v>
      </c>
      <c r="J1015" s="20" t="s">
        <v>33</v>
      </c>
      <c r="K1015" s="13">
        <v>72</v>
      </c>
      <c r="L1015" s="18" t="s">
        <v>45</v>
      </c>
      <c r="M1015" s="21" t="s">
        <v>39</v>
      </c>
      <c r="N1015" s="16" t="s">
        <v>36</v>
      </c>
      <c r="O1015" t="str">
        <f>IF(TRIM(J1015)="","NULL",IFERROR(VLOOKUP(TRIM(J1015),Lookup_PropertyType!$A:$B,2,FALSE()),"other"))</f>
        <v>apartment</v>
      </c>
      <c r="P1015">
        <f t="shared" si="15"/>
        <v>0</v>
      </c>
    </row>
    <row r="1016" spans="1:16" ht="15.75" customHeight="1" x14ac:dyDescent="0.35">
      <c r="A1016" s="13">
        <v>1015</v>
      </c>
      <c r="B1016" s="14">
        <v>45975</v>
      </c>
      <c r="C1016" s="14">
        <v>46053</v>
      </c>
      <c r="D1016" s="18" t="s">
        <v>32</v>
      </c>
      <c r="E1016" s="17">
        <v>10000</v>
      </c>
      <c r="F1016" s="13">
        <v>180</v>
      </c>
      <c r="G1016" s="13">
        <v>934</v>
      </c>
      <c r="H1016" s="19">
        <v>460000</v>
      </c>
      <c r="I1016" s="19">
        <v>120000</v>
      </c>
      <c r="J1016" s="20" t="s">
        <v>37</v>
      </c>
      <c r="K1016" s="13">
        <v>54</v>
      </c>
      <c r="L1016" s="18" t="s">
        <v>45</v>
      </c>
      <c r="M1016" s="21" t="s">
        <v>39</v>
      </c>
      <c r="N1016" s="16" t="s">
        <v>50</v>
      </c>
      <c r="O1016" t="str">
        <f>IF(TRIM(J1016)="","NULL",IFERROR(VLOOKUP(TRIM(J1016),Lookup_PropertyType!$A:$B,2,FALSE()),"other"))</f>
        <v>house</v>
      </c>
      <c r="P1016">
        <f t="shared" si="15"/>
        <v>1</v>
      </c>
    </row>
    <row r="1017" spans="1:16" ht="15.75" customHeight="1" x14ac:dyDescent="0.35">
      <c r="A1017" s="13">
        <v>1016</v>
      </c>
      <c r="B1017" s="14">
        <v>45970</v>
      </c>
      <c r="C1017" s="15"/>
      <c r="D1017" s="18" t="s">
        <v>32</v>
      </c>
      <c r="E1017" s="17">
        <v>19000</v>
      </c>
      <c r="F1017" s="13">
        <v>180</v>
      </c>
      <c r="G1017" s="13">
        <v>792</v>
      </c>
      <c r="H1017" s="19">
        <v>630000</v>
      </c>
      <c r="I1017" s="19">
        <v>200000</v>
      </c>
      <c r="J1017" s="20" t="s">
        <v>33</v>
      </c>
      <c r="K1017" s="13">
        <v>56</v>
      </c>
      <c r="L1017" s="18" t="s">
        <v>64</v>
      </c>
      <c r="M1017" s="18" t="s">
        <v>35</v>
      </c>
      <c r="N1017" s="16" t="s">
        <v>51</v>
      </c>
      <c r="O1017" t="str">
        <f>IF(TRIM(J1017)="","NULL",IFERROR(VLOOKUP(TRIM(J1017),Lookup_PropertyType!$A:$B,2,FALSE()),"other"))</f>
        <v>apartment</v>
      </c>
      <c r="P1017">
        <f t="shared" si="15"/>
        <v>0</v>
      </c>
    </row>
    <row r="1018" spans="1:16" ht="15.75" customHeight="1" x14ac:dyDescent="0.35">
      <c r="A1018" s="13">
        <v>1017</v>
      </c>
      <c r="B1018" s="14">
        <v>45978</v>
      </c>
      <c r="C1018" s="15"/>
      <c r="D1018" s="18" t="s">
        <v>32</v>
      </c>
      <c r="E1018" s="17">
        <v>12000</v>
      </c>
      <c r="F1018" s="13">
        <v>180</v>
      </c>
      <c r="G1018" s="13">
        <v>256</v>
      </c>
      <c r="H1018" s="19">
        <v>500000</v>
      </c>
      <c r="I1018" s="19">
        <v>180000</v>
      </c>
      <c r="J1018" s="20" t="s">
        <v>37</v>
      </c>
      <c r="K1018" s="13">
        <v>37</v>
      </c>
      <c r="L1018" s="18" t="s">
        <v>38</v>
      </c>
      <c r="M1018" s="21" t="s">
        <v>39</v>
      </c>
      <c r="N1018" s="16" t="s">
        <v>36</v>
      </c>
      <c r="O1018" t="str">
        <f>IF(TRIM(J1018)="","NULL",IFERROR(VLOOKUP(TRIM(J1018),Lookup_PropertyType!$A:$B,2,FALSE()),"other"))</f>
        <v>house</v>
      </c>
      <c r="P1018">
        <f t="shared" si="15"/>
        <v>0</v>
      </c>
    </row>
    <row r="1019" spans="1:16" ht="15.75" customHeight="1" x14ac:dyDescent="0.35">
      <c r="A1019" s="13">
        <v>1018</v>
      </c>
      <c r="B1019" s="14">
        <v>45982</v>
      </c>
      <c r="C1019" s="15"/>
      <c r="D1019" s="18" t="s">
        <v>55</v>
      </c>
      <c r="E1019" s="17">
        <v>33000</v>
      </c>
      <c r="F1019" s="13">
        <v>120</v>
      </c>
      <c r="G1019" s="13">
        <v>337</v>
      </c>
      <c r="H1019" s="19">
        <v>270000</v>
      </c>
      <c r="I1019" s="19">
        <v>60000</v>
      </c>
      <c r="J1019" s="20" t="s">
        <v>33</v>
      </c>
      <c r="K1019" s="13">
        <v>63</v>
      </c>
      <c r="L1019" s="18" t="s">
        <v>38</v>
      </c>
      <c r="M1019" s="21" t="s">
        <v>54</v>
      </c>
      <c r="N1019" s="16" t="s">
        <v>50</v>
      </c>
      <c r="O1019" t="str">
        <f>IF(TRIM(J1019)="","NULL",IFERROR(VLOOKUP(TRIM(J1019),Lookup_PropertyType!$A:$B,2,FALSE()),"other"))</f>
        <v>apartment</v>
      </c>
      <c r="P1019">
        <f t="shared" si="15"/>
        <v>0</v>
      </c>
    </row>
    <row r="1020" spans="1:16" ht="15.75" customHeight="1" x14ac:dyDescent="0.35">
      <c r="A1020" s="13">
        <v>1019</v>
      </c>
      <c r="B1020" s="14">
        <v>45975</v>
      </c>
      <c r="C1020" s="15"/>
      <c r="D1020" s="18" t="s">
        <v>32</v>
      </c>
      <c r="E1020" s="17">
        <v>9000</v>
      </c>
      <c r="F1020" s="13">
        <v>180</v>
      </c>
      <c r="G1020" s="13">
        <v>662</v>
      </c>
      <c r="H1020" s="19">
        <v>225000</v>
      </c>
      <c r="I1020" s="19">
        <v>70000</v>
      </c>
      <c r="J1020" s="20" t="s">
        <v>37</v>
      </c>
      <c r="K1020" s="13">
        <v>38</v>
      </c>
      <c r="L1020" s="18" t="s">
        <v>38</v>
      </c>
      <c r="M1020" s="21" t="s">
        <v>39</v>
      </c>
      <c r="N1020" s="16" t="s">
        <v>42</v>
      </c>
      <c r="O1020" t="str">
        <f>IF(TRIM(J1020)="","NULL",IFERROR(VLOOKUP(TRIM(J1020),Lookup_PropertyType!$A:$B,2,FALSE()),"other"))</f>
        <v>house</v>
      </c>
      <c r="P1020">
        <f t="shared" si="15"/>
        <v>0</v>
      </c>
    </row>
    <row r="1021" spans="1:16" ht="15.75" customHeight="1" x14ac:dyDescent="0.35">
      <c r="A1021" s="13">
        <v>1020</v>
      </c>
      <c r="B1021" s="14">
        <v>45983</v>
      </c>
      <c r="C1021" s="15"/>
      <c r="D1021" s="18" t="s">
        <v>32</v>
      </c>
      <c r="E1021" s="17">
        <v>25000</v>
      </c>
      <c r="F1021" s="13">
        <v>180</v>
      </c>
      <c r="G1021" s="13">
        <v>253</v>
      </c>
      <c r="H1021" s="19">
        <v>2000000</v>
      </c>
      <c r="I1021" s="19">
        <v>100000</v>
      </c>
      <c r="J1021" s="20" t="s">
        <v>33</v>
      </c>
      <c r="K1021" s="13">
        <v>75</v>
      </c>
      <c r="L1021" s="18" t="s">
        <v>59</v>
      </c>
      <c r="M1021" s="21" t="s">
        <v>39</v>
      </c>
      <c r="N1021" s="16" t="s">
        <v>40</v>
      </c>
      <c r="O1021" t="str">
        <f>IF(TRIM(J1021)="","NULL",IFERROR(VLOOKUP(TRIM(J1021),Lookup_PropertyType!$A:$B,2,FALSE()),"other"))</f>
        <v>apartment</v>
      </c>
      <c r="P1021">
        <f t="shared" si="15"/>
        <v>0</v>
      </c>
    </row>
    <row r="1022" spans="1:16" ht="15.75" customHeight="1" x14ac:dyDescent="0.35">
      <c r="A1022" s="13">
        <v>1021</v>
      </c>
      <c r="B1022" s="14">
        <v>45989</v>
      </c>
      <c r="C1022" s="15"/>
      <c r="D1022" s="18" t="s">
        <v>55</v>
      </c>
      <c r="E1022" s="17">
        <v>22600</v>
      </c>
      <c r="F1022" s="13">
        <v>180</v>
      </c>
      <c r="G1022" s="13">
        <v>498</v>
      </c>
      <c r="H1022" s="19">
        <v>1300000</v>
      </c>
      <c r="I1022" s="19">
        <v>200000</v>
      </c>
      <c r="J1022" s="20" t="s">
        <v>33</v>
      </c>
      <c r="K1022" s="13">
        <v>63</v>
      </c>
      <c r="L1022" s="18" t="s">
        <v>38</v>
      </c>
      <c r="M1022" s="21" t="s">
        <v>35</v>
      </c>
      <c r="N1022" s="16" t="s">
        <v>36</v>
      </c>
      <c r="O1022" t="str">
        <f>IF(TRIM(J1022)="","NULL",IFERROR(VLOOKUP(TRIM(J1022),Lookup_PropertyType!$A:$B,2,FALSE()),"other"))</f>
        <v>apartment</v>
      </c>
      <c r="P1022">
        <f t="shared" si="15"/>
        <v>0</v>
      </c>
    </row>
    <row r="1023" spans="1:16" ht="15.75" customHeight="1" x14ac:dyDescent="0.35">
      <c r="A1023" s="13">
        <v>1022</v>
      </c>
      <c r="B1023" s="14">
        <v>45984</v>
      </c>
      <c r="C1023" s="15"/>
      <c r="D1023" s="18" t="s">
        <v>32</v>
      </c>
      <c r="E1023" s="17">
        <v>7000</v>
      </c>
      <c r="F1023" s="13">
        <v>180</v>
      </c>
      <c r="G1023" s="13">
        <v>678</v>
      </c>
      <c r="H1023" s="19">
        <v>250000</v>
      </c>
      <c r="I1023" s="19">
        <v>50000</v>
      </c>
      <c r="J1023" s="20" t="s">
        <v>33</v>
      </c>
      <c r="K1023" s="13">
        <v>56</v>
      </c>
      <c r="L1023" s="18" t="s">
        <v>34</v>
      </c>
      <c r="M1023" s="21" t="s">
        <v>54</v>
      </c>
      <c r="N1023" s="16" t="s">
        <v>36</v>
      </c>
      <c r="O1023" t="str">
        <f>IF(TRIM(J1023)="","NULL",IFERROR(VLOOKUP(TRIM(J1023),Lookup_PropertyType!$A:$B,2,FALSE()),"other"))</f>
        <v>apartment</v>
      </c>
      <c r="P1023">
        <f t="shared" si="15"/>
        <v>0</v>
      </c>
    </row>
    <row r="1024" spans="1:16" ht="15.75" customHeight="1" x14ac:dyDescent="0.35">
      <c r="A1024" s="13">
        <v>1023</v>
      </c>
      <c r="B1024" s="14">
        <v>45988</v>
      </c>
      <c r="C1024" s="15"/>
      <c r="D1024" s="18" t="s">
        <v>55</v>
      </c>
      <c r="E1024" s="17">
        <v>45000</v>
      </c>
      <c r="F1024" s="13">
        <v>180</v>
      </c>
      <c r="G1024" s="13">
        <v>698</v>
      </c>
      <c r="H1024" s="19">
        <v>250000</v>
      </c>
      <c r="I1024" s="19">
        <v>50000</v>
      </c>
      <c r="J1024" s="20" t="s">
        <v>33</v>
      </c>
      <c r="K1024" s="13">
        <v>32</v>
      </c>
      <c r="L1024" s="18" t="s">
        <v>41</v>
      </c>
      <c r="M1024" s="21" t="s">
        <v>39</v>
      </c>
      <c r="N1024" s="16" t="s">
        <v>36</v>
      </c>
      <c r="O1024" t="str">
        <f>IF(TRIM(J1024)="","NULL",IFERROR(VLOOKUP(TRIM(J1024),Lookup_PropertyType!$A:$B,2,FALSE()),"other"))</f>
        <v>apartment</v>
      </c>
      <c r="P1024">
        <f t="shared" si="15"/>
        <v>0</v>
      </c>
    </row>
    <row r="1025" spans="1:16" ht="15.75" customHeight="1" x14ac:dyDescent="0.35">
      <c r="A1025" s="13">
        <v>1024</v>
      </c>
      <c r="B1025" s="14">
        <v>45985</v>
      </c>
      <c r="C1025" s="15"/>
      <c r="D1025" s="18" t="s">
        <v>32</v>
      </c>
      <c r="E1025" s="17">
        <v>12000</v>
      </c>
      <c r="F1025" s="13">
        <v>120</v>
      </c>
      <c r="G1025" s="13">
        <v>691</v>
      </c>
      <c r="H1025" s="19">
        <v>410000</v>
      </c>
      <c r="I1025" s="19">
        <v>300000</v>
      </c>
      <c r="J1025" s="20" t="s">
        <v>33</v>
      </c>
      <c r="K1025" s="13">
        <v>52</v>
      </c>
      <c r="L1025" s="18" t="s">
        <v>45</v>
      </c>
      <c r="M1025" s="21" t="s">
        <v>54</v>
      </c>
      <c r="N1025" s="16" t="s">
        <v>51</v>
      </c>
      <c r="O1025" t="str">
        <f>IF(TRIM(J1025)="","NULL",IFERROR(VLOOKUP(TRIM(J1025),Lookup_PropertyType!$A:$B,2,FALSE()),"other"))</f>
        <v>apartment</v>
      </c>
      <c r="P1025">
        <f t="shared" si="15"/>
        <v>0</v>
      </c>
    </row>
    <row r="1026" spans="1:16" ht="15.75" customHeight="1" x14ac:dyDescent="0.35">
      <c r="A1026" s="13">
        <v>1025</v>
      </c>
      <c r="B1026" s="14">
        <v>46005</v>
      </c>
      <c r="C1026" s="15"/>
      <c r="D1026" s="18"/>
      <c r="E1026" s="17">
        <v>6000</v>
      </c>
      <c r="F1026" s="13">
        <v>120</v>
      </c>
      <c r="G1026" s="13">
        <v>989</v>
      </c>
      <c r="H1026" s="19">
        <v>230000</v>
      </c>
      <c r="I1026" s="19">
        <v>100000</v>
      </c>
      <c r="J1026" s="20" t="s">
        <v>33</v>
      </c>
      <c r="K1026" s="13">
        <v>62</v>
      </c>
      <c r="L1026" s="18" t="s">
        <v>64</v>
      </c>
      <c r="M1026" s="21" t="s">
        <v>39</v>
      </c>
      <c r="N1026" s="16" t="s">
        <v>43</v>
      </c>
      <c r="O1026" t="str">
        <f>IF(TRIM(J1026)="","NULL",IFERROR(VLOOKUP(TRIM(J1026),Lookup_PropertyType!$A:$B,2,FALSE()),"other"))</f>
        <v>apartment</v>
      </c>
      <c r="P1026">
        <f t="shared" ref="P1026:P1089" si="16">IF(AND(C1026&lt;&gt;"",C1026&gt;=B1026),1,0)</f>
        <v>0</v>
      </c>
    </row>
    <row r="1027" spans="1:16" ht="15.75" customHeight="1" x14ac:dyDescent="0.35">
      <c r="A1027" s="13">
        <v>1026</v>
      </c>
      <c r="B1027" s="14">
        <v>45983</v>
      </c>
      <c r="C1027" s="14">
        <v>46081</v>
      </c>
      <c r="D1027" s="18" t="s">
        <v>32</v>
      </c>
      <c r="E1027" s="17">
        <v>17000</v>
      </c>
      <c r="F1027" s="13">
        <v>90</v>
      </c>
      <c r="G1027" s="13">
        <v>793</v>
      </c>
      <c r="H1027" s="19">
        <v>500000</v>
      </c>
      <c r="I1027" s="19">
        <v>130000</v>
      </c>
      <c r="J1027" s="20" t="s">
        <v>37</v>
      </c>
      <c r="K1027" s="13">
        <v>38</v>
      </c>
      <c r="L1027" s="18" t="s">
        <v>38</v>
      </c>
      <c r="M1027" s="21" t="s">
        <v>39</v>
      </c>
      <c r="N1027" s="16" t="s">
        <v>42</v>
      </c>
      <c r="O1027" t="str">
        <f>IF(TRIM(J1027)="","NULL",IFERROR(VLOOKUP(TRIM(J1027),Lookup_PropertyType!$A:$B,2,FALSE()),"other"))</f>
        <v>house</v>
      </c>
      <c r="P1027">
        <f t="shared" si="16"/>
        <v>1</v>
      </c>
    </row>
    <row r="1028" spans="1:16" ht="15.75" customHeight="1" x14ac:dyDescent="0.35">
      <c r="A1028" s="13">
        <v>1027</v>
      </c>
      <c r="B1028" s="14">
        <v>45975</v>
      </c>
      <c r="C1028" s="14">
        <v>46108</v>
      </c>
      <c r="D1028" s="18" t="s">
        <v>65</v>
      </c>
      <c r="E1028" s="17">
        <v>12000</v>
      </c>
      <c r="F1028" s="13">
        <v>180</v>
      </c>
      <c r="G1028" s="13">
        <v>391</v>
      </c>
      <c r="H1028" s="19">
        <v>450000</v>
      </c>
      <c r="I1028" s="19">
        <v>150000</v>
      </c>
      <c r="J1028" s="20" t="s">
        <v>33</v>
      </c>
      <c r="K1028" s="13">
        <v>32</v>
      </c>
      <c r="L1028" s="18" t="s">
        <v>41</v>
      </c>
      <c r="M1028" s="21" t="s">
        <v>39</v>
      </c>
      <c r="N1028" s="16" t="s">
        <v>48</v>
      </c>
      <c r="O1028" t="str">
        <f>IF(TRIM(J1028)="","NULL",IFERROR(VLOOKUP(TRIM(J1028),Lookup_PropertyType!$A:$B,2,FALSE()),"other"))</f>
        <v>apartment</v>
      </c>
      <c r="P1028">
        <f t="shared" si="16"/>
        <v>1</v>
      </c>
    </row>
    <row r="1029" spans="1:16" ht="15.75" customHeight="1" x14ac:dyDescent="0.35">
      <c r="A1029" s="13">
        <v>1028</v>
      </c>
      <c r="B1029" s="14">
        <v>45982</v>
      </c>
      <c r="C1029" s="14">
        <v>46019</v>
      </c>
      <c r="D1029" s="18" t="s">
        <v>32</v>
      </c>
      <c r="E1029" s="17">
        <v>6000</v>
      </c>
      <c r="F1029" s="13">
        <v>180</v>
      </c>
      <c r="G1029" s="13">
        <v>924</v>
      </c>
      <c r="H1029" s="19">
        <v>320000</v>
      </c>
      <c r="I1029" s="19">
        <v>30000</v>
      </c>
      <c r="J1029" s="20" t="s">
        <v>37</v>
      </c>
      <c r="K1029" s="13">
        <v>45</v>
      </c>
      <c r="L1029" s="18" t="s">
        <v>34</v>
      </c>
      <c r="M1029" s="21" t="s">
        <v>39</v>
      </c>
      <c r="N1029" s="16" t="s">
        <v>42</v>
      </c>
      <c r="O1029" t="str">
        <f>IF(TRIM(J1029)="","NULL",IFERROR(VLOOKUP(TRIM(J1029),Lookup_PropertyType!$A:$B,2,FALSE()),"other"))</f>
        <v>house</v>
      </c>
      <c r="P1029">
        <f t="shared" si="16"/>
        <v>1</v>
      </c>
    </row>
    <row r="1030" spans="1:16" ht="15.75" customHeight="1" x14ac:dyDescent="0.35">
      <c r="A1030" s="13">
        <v>1029</v>
      </c>
      <c r="B1030" s="14">
        <v>45985</v>
      </c>
      <c r="C1030" s="15"/>
      <c r="D1030" s="18" t="s">
        <v>56</v>
      </c>
      <c r="E1030" s="17">
        <v>8000</v>
      </c>
      <c r="F1030" s="13">
        <v>150</v>
      </c>
      <c r="G1030" s="13">
        <v>486</v>
      </c>
      <c r="H1030" s="19">
        <v>300000</v>
      </c>
      <c r="I1030" s="19">
        <v>60000</v>
      </c>
      <c r="J1030" s="20" t="s">
        <v>37</v>
      </c>
      <c r="K1030" s="13">
        <v>57</v>
      </c>
      <c r="L1030" s="18" t="s">
        <v>45</v>
      </c>
      <c r="M1030" s="21" t="s">
        <v>54</v>
      </c>
      <c r="N1030" s="16" t="s">
        <v>51</v>
      </c>
      <c r="O1030" t="str">
        <f>IF(TRIM(J1030)="","NULL",IFERROR(VLOOKUP(TRIM(J1030),Lookup_PropertyType!$A:$B,2,FALSE()),"other"))</f>
        <v>house</v>
      </c>
      <c r="P1030">
        <f t="shared" si="16"/>
        <v>0</v>
      </c>
    </row>
    <row r="1031" spans="1:16" ht="15.75" customHeight="1" x14ac:dyDescent="0.35">
      <c r="A1031" s="13">
        <v>1030</v>
      </c>
      <c r="B1031" s="14">
        <v>46045</v>
      </c>
      <c r="C1031" s="15"/>
      <c r="D1031" s="18" t="s">
        <v>32</v>
      </c>
      <c r="E1031" s="17">
        <v>8000</v>
      </c>
      <c r="F1031" s="13">
        <v>90</v>
      </c>
      <c r="G1031" s="13">
        <v>845</v>
      </c>
      <c r="H1031" s="19">
        <v>700000</v>
      </c>
      <c r="I1031" s="19">
        <v>30000</v>
      </c>
      <c r="J1031" s="20" t="s">
        <v>33</v>
      </c>
      <c r="K1031" s="13">
        <v>49</v>
      </c>
      <c r="L1031" s="18" t="s">
        <v>59</v>
      </c>
      <c r="M1031" s="21" t="s">
        <v>39</v>
      </c>
      <c r="N1031" s="16" t="s">
        <v>36</v>
      </c>
      <c r="O1031" t="str">
        <f>IF(TRIM(J1031)="","NULL",IFERROR(VLOOKUP(TRIM(J1031),Lookup_PropertyType!$A:$B,2,FALSE()),"other"))</f>
        <v>apartment</v>
      </c>
      <c r="P1031">
        <f t="shared" si="16"/>
        <v>0</v>
      </c>
    </row>
    <row r="1032" spans="1:16" ht="15.75" customHeight="1" x14ac:dyDescent="0.35">
      <c r="A1032" s="13">
        <v>1031</v>
      </c>
      <c r="B1032" s="14">
        <v>45977</v>
      </c>
      <c r="C1032" s="15"/>
      <c r="D1032" s="18" t="s">
        <v>49</v>
      </c>
      <c r="E1032" s="17">
        <v>10000</v>
      </c>
      <c r="F1032" s="13">
        <v>180</v>
      </c>
      <c r="G1032" s="13">
        <v>356</v>
      </c>
      <c r="H1032" s="19">
        <v>477000</v>
      </c>
      <c r="I1032" s="19">
        <v>200000</v>
      </c>
      <c r="J1032" s="20" t="s">
        <v>33</v>
      </c>
      <c r="K1032" s="13">
        <v>65</v>
      </c>
      <c r="L1032" s="18" t="s">
        <v>38</v>
      </c>
      <c r="M1032" s="21" t="s">
        <v>35</v>
      </c>
      <c r="N1032" s="18" t="s">
        <v>43</v>
      </c>
      <c r="O1032" t="str">
        <f>IF(TRIM(J1032)="","NULL",IFERROR(VLOOKUP(TRIM(J1032),Lookup_PropertyType!$A:$B,2,FALSE()),"other"))</f>
        <v>apartment</v>
      </c>
      <c r="P1032">
        <f t="shared" si="16"/>
        <v>0</v>
      </c>
    </row>
    <row r="1033" spans="1:16" ht="15.75" customHeight="1" x14ac:dyDescent="0.35">
      <c r="A1033" s="13">
        <v>1032</v>
      </c>
      <c r="B1033" s="14">
        <v>45988</v>
      </c>
      <c r="C1033" s="15"/>
      <c r="D1033" s="18" t="s">
        <v>32</v>
      </c>
      <c r="E1033" s="17">
        <v>14000</v>
      </c>
      <c r="F1033" s="13">
        <v>180</v>
      </c>
      <c r="G1033" s="13">
        <v>803</v>
      </c>
      <c r="H1033" s="19">
        <v>250000</v>
      </c>
      <c r="I1033" s="19">
        <v>100000</v>
      </c>
      <c r="J1033" s="20" t="s">
        <v>37</v>
      </c>
      <c r="K1033" s="13">
        <v>60</v>
      </c>
      <c r="L1033" s="18" t="s">
        <v>41</v>
      </c>
      <c r="M1033" s="21" t="s">
        <v>35</v>
      </c>
      <c r="N1033" s="18" t="s">
        <v>42</v>
      </c>
      <c r="O1033" t="str">
        <f>IF(TRIM(J1033)="","NULL",IFERROR(VLOOKUP(TRIM(J1033),Lookup_PropertyType!$A:$B,2,FALSE()),"other"))</f>
        <v>house</v>
      </c>
      <c r="P1033">
        <f t="shared" si="16"/>
        <v>0</v>
      </c>
    </row>
    <row r="1034" spans="1:16" ht="15.75" customHeight="1" x14ac:dyDescent="0.35">
      <c r="A1034" s="13">
        <v>1033</v>
      </c>
      <c r="B1034" s="14">
        <v>45988</v>
      </c>
      <c r="C1034" s="15"/>
      <c r="D1034" s="18"/>
      <c r="E1034" s="17">
        <v>5500</v>
      </c>
      <c r="F1034" s="13">
        <v>150</v>
      </c>
      <c r="G1034" s="13">
        <v>543</v>
      </c>
      <c r="H1034" s="19">
        <v>450000</v>
      </c>
      <c r="I1034" s="19">
        <v>40000</v>
      </c>
      <c r="J1034" s="20" t="s">
        <v>33</v>
      </c>
      <c r="K1034" s="13">
        <v>45</v>
      </c>
      <c r="L1034" s="18" t="s">
        <v>38</v>
      </c>
      <c r="M1034" s="21" t="s">
        <v>39</v>
      </c>
      <c r="N1034" s="18" t="s">
        <v>36</v>
      </c>
      <c r="O1034" t="str">
        <f>IF(TRIM(J1034)="","NULL",IFERROR(VLOOKUP(TRIM(J1034),Lookup_PropertyType!$A:$B,2,FALSE()),"other"))</f>
        <v>apartment</v>
      </c>
      <c r="P1034">
        <f t="shared" si="16"/>
        <v>0</v>
      </c>
    </row>
    <row r="1035" spans="1:16" ht="15.75" customHeight="1" x14ac:dyDescent="0.35">
      <c r="A1035" s="13">
        <v>1034</v>
      </c>
      <c r="B1035" s="14">
        <v>45990</v>
      </c>
      <c r="C1035" s="14">
        <v>46033</v>
      </c>
      <c r="D1035" s="18" t="s">
        <v>32</v>
      </c>
      <c r="E1035" s="17">
        <v>36000</v>
      </c>
      <c r="F1035" s="13">
        <v>180</v>
      </c>
      <c r="G1035" s="13">
        <v>998</v>
      </c>
      <c r="H1035" s="19">
        <v>1400000</v>
      </c>
      <c r="I1035" s="19">
        <v>450000</v>
      </c>
      <c r="J1035" s="20" t="s">
        <v>37</v>
      </c>
      <c r="K1035" s="13">
        <v>47</v>
      </c>
      <c r="L1035" s="18" t="s">
        <v>38</v>
      </c>
      <c r="M1035" s="21" t="s">
        <v>54</v>
      </c>
      <c r="N1035" s="18" t="s">
        <v>42</v>
      </c>
      <c r="O1035" t="str">
        <f>IF(TRIM(J1035)="","NULL",IFERROR(VLOOKUP(TRIM(J1035),Lookup_PropertyType!$A:$B,2,FALSE()),"other"))</f>
        <v>house</v>
      </c>
      <c r="P1035">
        <f t="shared" si="16"/>
        <v>1</v>
      </c>
    </row>
    <row r="1036" spans="1:16" ht="15.75" customHeight="1" x14ac:dyDescent="0.35">
      <c r="A1036" s="13">
        <v>1035</v>
      </c>
      <c r="B1036" s="14">
        <v>45977</v>
      </c>
      <c r="C1036" s="15"/>
      <c r="D1036" s="18" t="s">
        <v>58</v>
      </c>
      <c r="E1036" s="17">
        <v>25000</v>
      </c>
      <c r="F1036" s="13">
        <v>90</v>
      </c>
      <c r="G1036" s="13">
        <v>427</v>
      </c>
      <c r="H1036" s="19">
        <v>450000</v>
      </c>
      <c r="I1036" s="19">
        <v>180000</v>
      </c>
      <c r="J1036" s="20" t="s">
        <v>37</v>
      </c>
      <c r="K1036" s="13">
        <v>45</v>
      </c>
      <c r="L1036" s="18" t="s">
        <v>45</v>
      </c>
      <c r="M1036" s="21" t="s">
        <v>39</v>
      </c>
      <c r="N1036" s="18" t="s">
        <v>36</v>
      </c>
      <c r="O1036" t="str">
        <f>IF(TRIM(J1036)="","NULL",IFERROR(VLOOKUP(TRIM(J1036),Lookup_PropertyType!$A:$B,2,FALSE()),"other"))</f>
        <v>house</v>
      </c>
      <c r="P1036">
        <f t="shared" si="16"/>
        <v>0</v>
      </c>
    </row>
    <row r="1037" spans="1:16" ht="15.75" customHeight="1" x14ac:dyDescent="0.35">
      <c r="A1037" s="13">
        <v>1036</v>
      </c>
      <c r="B1037" s="14">
        <v>45985</v>
      </c>
      <c r="C1037" s="14">
        <v>46040</v>
      </c>
      <c r="D1037" s="18" t="s">
        <v>32</v>
      </c>
      <c r="E1037" s="17">
        <v>14142</v>
      </c>
      <c r="F1037" s="13">
        <v>150</v>
      </c>
      <c r="G1037" s="13">
        <v>478</v>
      </c>
      <c r="H1037" s="19">
        <v>1000000</v>
      </c>
      <c r="I1037" s="19">
        <v>160000</v>
      </c>
      <c r="J1037" s="20" t="s">
        <v>33</v>
      </c>
      <c r="K1037" s="13">
        <v>49</v>
      </c>
      <c r="L1037" s="18" t="s">
        <v>38</v>
      </c>
      <c r="M1037" s="21" t="s">
        <v>39</v>
      </c>
      <c r="N1037" s="18" t="s">
        <v>42</v>
      </c>
      <c r="O1037" t="str">
        <f>IF(TRIM(J1037)="","NULL",IFERROR(VLOOKUP(TRIM(J1037),Lookup_PropertyType!$A:$B,2,FALSE()),"other"))</f>
        <v>apartment</v>
      </c>
      <c r="P1037">
        <f t="shared" si="16"/>
        <v>1</v>
      </c>
    </row>
    <row r="1038" spans="1:16" ht="15.75" customHeight="1" x14ac:dyDescent="0.35">
      <c r="A1038" s="13">
        <v>1037</v>
      </c>
      <c r="B1038" s="14">
        <v>45985</v>
      </c>
      <c r="C1038" s="15"/>
      <c r="D1038" s="18" t="s">
        <v>32</v>
      </c>
      <c r="E1038" s="17">
        <v>12000</v>
      </c>
      <c r="F1038" s="13">
        <v>90</v>
      </c>
      <c r="G1038" s="13">
        <v>204</v>
      </c>
      <c r="H1038" s="19">
        <v>400000</v>
      </c>
      <c r="I1038" s="19">
        <v>120000</v>
      </c>
      <c r="J1038" s="20" t="s">
        <v>37</v>
      </c>
      <c r="K1038" s="13">
        <v>49</v>
      </c>
      <c r="L1038" s="18" t="s">
        <v>41</v>
      </c>
      <c r="M1038" s="18" t="s">
        <v>39</v>
      </c>
      <c r="N1038" s="18" t="s">
        <v>42</v>
      </c>
      <c r="O1038" t="str">
        <f>IF(TRIM(J1038)="","NULL",IFERROR(VLOOKUP(TRIM(J1038),Lookup_PropertyType!$A:$B,2,FALSE()),"other"))</f>
        <v>house</v>
      </c>
      <c r="P1038">
        <f t="shared" si="16"/>
        <v>0</v>
      </c>
    </row>
    <row r="1039" spans="1:16" ht="15.75" customHeight="1" x14ac:dyDescent="0.35">
      <c r="A1039" s="13">
        <v>1038</v>
      </c>
      <c r="B1039" s="14">
        <v>45990</v>
      </c>
      <c r="C1039" s="15"/>
      <c r="D1039" s="18" t="s">
        <v>32</v>
      </c>
      <c r="E1039" s="17">
        <v>12735</v>
      </c>
      <c r="F1039" s="13">
        <v>180</v>
      </c>
      <c r="G1039" s="13">
        <v>468</v>
      </c>
      <c r="H1039" s="19">
        <v>250000</v>
      </c>
      <c r="I1039" s="19">
        <v>100000</v>
      </c>
      <c r="J1039" s="20" t="s">
        <v>33</v>
      </c>
      <c r="K1039" s="13">
        <v>32</v>
      </c>
      <c r="L1039" s="18" t="s">
        <v>41</v>
      </c>
      <c r="M1039" s="21" t="s">
        <v>54</v>
      </c>
      <c r="N1039" s="18" t="s">
        <v>42</v>
      </c>
      <c r="O1039" t="str">
        <f>IF(TRIM(J1039)="","NULL",IFERROR(VLOOKUP(TRIM(J1039),Lookup_PropertyType!$A:$B,2,FALSE()),"other"))</f>
        <v>apartment</v>
      </c>
      <c r="P1039">
        <f t="shared" si="16"/>
        <v>0</v>
      </c>
    </row>
    <row r="1040" spans="1:16" ht="15.75" customHeight="1" x14ac:dyDescent="0.35">
      <c r="A1040" s="13">
        <v>1039</v>
      </c>
      <c r="B1040" s="14">
        <v>45978</v>
      </c>
      <c r="C1040" s="15"/>
      <c r="D1040" s="18" t="s">
        <v>58</v>
      </c>
      <c r="E1040" s="17">
        <v>20000</v>
      </c>
      <c r="F1040" s="13">
        <v>180</v>
      </c>
      <c r="G1040" s="13">
        <v>891</v>
      </c>
      <c r="H1040" s="19">
        <v>800000</v>
      </c>
      <c r="I1040" s="19">
        <v>350000</v>
      </c>
      <c r="J1040" s="20" t="s">
        <v>37</v>
      </c>
      <c r="K1040" s="13">
        <v>63</v>
      </c>
      <c r="L1040" s="18" t="s">
        <v>41</v>
      </c>
      <c r="M1040" s="21" t="s">
        <v>39</v>
      </c>
      <c r="N1040" s="18" t="s">
        <v>42</v>
      </c>
      <c r="O1040" t="str">
        <f>IF(TRIM(J1040)="","NULL",IFERROR(VLOOKUP(TRIM(J1040),Lookup_PropertyType!$A:$B,2,FALSE()),"other"))</f>
        <v>house</v>
      </c>
      <c r="P1040">
        <f t="shared" si="16"/>
        <v>0</v>
      </c>
    </row>
    <row r="1041" spans="1:16" ht="15.75" customHeight="1" x14ac:dyDescent="0.35">
      <c r="A1041" s="13">
        <v>1040</v>
      </c>
      <c r="B1041" s="14">
        <v>45995</v>
      </c>
      <c r="C1041" s="15"/>
      <c r="D1041" s="18" t="s">
        <v>32</v>
      </c>
      <c r="E1041" s="17">
        <v>5800</v>
      </c>
      <c r="F1041" s="13">
        <v>180</v>
      </c>
      <c r="G1041" s="13">
        <v>309</v>
      </c>
      <c r="H1041" s="19">
        <v>900000</v>
      </c>
      <c r="I1041" s="19">
        <v>40000</v>
      </c>
      <c r="J1041" s="20" t="s">
        <v>33</v>
      </c>
      <c r="K1041" s="13">
        <v>40</v>
      </c>
      <c r="L1041" s="18" t="s">
        <v>41</v>
      </c>
      <c r="M1041" s="21" t="s">
        <v>39</v>
      </c>
      <c r="N1041" s="18" t="s">
        <v>40</v>
      </c>
      <c r="O1041" t="str">
        <f>IF(TRIM(J1041)="","NULL",IFERROR(VLOOKUP(TRIM(J1041),Lookup_PropertyType!$A:$B,2,FALSE()),"other"))</f>
        <v>apartment</v>
      </c>
      <c r="P1041">
        <f t="shared" si="16"/>
        <v>0</v>
      </c>
    </row>
    <row r="1042" spans="1:16" ht="15.75" customHeight="1" x14ac:dyDescent="0.35">
      <c r="A1042" s="13">
        <v>1041</v>
      </c>
      <c r="B1042" s="14">
        <v>46069</v>
      </c>
      <c r="C1042" s="15"/>
      <c r="D1042" s="18" t="s">
        <v>32</v>
      </c>
      <c r="E1042" s="17">
        <v>11500</v>
      </c>
      <c r="F1042" s="13">
        <v>120</v>
      </c>
      <c r="G1042" s="13">
        <v>874</v>
      </c>
      <c r="H1042" s="19">
        <v>270000</v>
      </c>
      <c r="I1042" s="19">
        <v>327380</v>
      </c>
      <c r="J1042" s="20" t="s">
        <v>33</v>
      </c>
      <c r="K1042" s="13">
        <v>58</v>
      </c>
      <c r="L1042" s="18" t="s">
        <v>41</v>
      </c>
      <c r="M1042" s="21" t="s">
        <v>39</v>
      </c>
      <c r="N1042" s="18" t="s">
        <v>42</v>
      </c>
      <c r="O1042" t="str">
        <f>IF(TRIM(J1042)="","NULL",IFERROR(VLOOKUP(TRIM(J1042),Lookup_PropertyType!$A:$B,2,FALSE()),"other"))</f>
        <v>apartment</v>
      </c>
      <c r="P1042">
        <f t="shared" si="16"/>
        <v>0</v>
      </c>
    </row>
    <row r="1043" spans="1:16" ht="15.75" customHeight="1" x14ac:dyDescent="0.35">
      <c r="A1043" s="13">
        <v>1042</v>
      </c>
      <c r="B1043" s="14">
        <v>45983</v>
      </c>
      <c r="C1043" s="15"/>
      <c r="D1043" s="18" t="s">
        <v>69</v>
      </c>
      <c r="E1043" s="17">
        <v>4200</v>
      </c>
      <c r="F1043" s="13">
        <v>180</v>
      </c>
      <c r="G1043" s="13">
        <v>332</v>
      </c>
      <c r="H1043" s="19">
        <v>330000</v>
      </c>
      <c r="I1043" s="19">
        <v>45000</v>
      </c>
      <c r="J1043" s="20" t="s">
        <v>37</v>
      </c>
      <c r="K1043" s="13">
        <v>60</v>
      </c>
      <c r="L1043" s="18" t="s">
        <v>38</v>
      </c>
      <c r="M1043" s="18" t="s">
        <v>39</v>
      </c>
      <c r="N1043" s="16" t="s">
        <v>50</v>
      </c>
      <c r="O1043" t="str">
        <f>IF(TRIM(J1043)="","NULL",IFERROR(VLOOKUP(TRIM(J1043),Lookup_PropertyType!$A:$B,2,FALSE()),"other"))</f>
        <v>house</v>
      </c>
      <c r="P1043">
        <f t="shared" si="16"/>
        <v>0</v>
      </c>
    </row>
    <row r="1044" spans="1:16" ht="15.75" customHeight="1" x14ac:dyDescent="0.35">
      <c r="A1044" s="13">
        <v>1043</v>
      </c>
      <c r="B1044" s="14">
        <v>45985</v>
      </c>
      <c r="C1044" s="14">
        <v>46046</v>
      </c>
      <c r="D1044" s="18" t="s">
        <v>55</v>
      </c>
      <c r="E1044" s="17">
        <v>11000</v>
      </c>
      <c r="F1044" s="13">
        <v>180</v>
      </c>
      <c r="G1044" s="13">
        <v>256</v>
      </c>
      <c r="H1044" s="19">
        <v>700000</v>
      </c>
      <c r="I1044" s="19">
        <v>150000</v>
      </c>
      <c r="J1044" s="20" t="s">
        <v>33</v>
      </c>
      <c r="K1044" s="13">
        <v>47</v>
      </c>
      <c r="L1044" s="18" t="s">
        <v>34</v>
      </c>
      <c r="M1044" s="21" t="s">
        <v>54</v>
      </c>
      <c r="N1044" s="18" t="s">
        <v>42</v>
      </c>
      <c r="O1044" t="str">
        <f>IF(TRIM(J1044)="","NULL",IFERROR(VLOOKUP(TRIM(J1044),Lookup_PropertyType!$A:$B,2,FALSE()),"other"))</f>
        <v>apartment</v>
      </c>
      <c r="P1044">
        <f t="shared" si="16"/>
        <v>1</v>
      </c>
    </row>
    <row r="1045" spans="1:16" ht="15.75" customHeight="1" x14ac:dyDescent="0.35">
      <c r="A1045" s="13">
        <v>1044</v>
      </c>
      <c r="B1045" s="14">
        <v>45982</v>
      </c>
      <c r="C1045" s="15"/>
      <c r="D1045" s="18" t="s">
        <v>32</v>
      </c>
      <c r="E1045" s="17">
        <v>13000</v>
      </c>
      <c r="F1045" s="13">
        <v>150</v>
      </c>
      <c r="G1045" s="13">
        <v>939</v>
      </c>
      <c r="H1045" s="19">
        <v>500000</v>
      </c>
      <c r="I1045" s="19">
        <v>120000</v>
      </c>
      <c r="J1045" s="20" t="s">
        <v>33</v>
      </c>
      <c r="K1045" s="13">
        <v>41</v>
      </c>
      <c r="L1045" s="18" t="s">
        <v>34</v>
      </c>
      <c r="M1045" s="21" t="s">
        <v>39</v>
      </c>
      <c r="N1045" s="16" t="s">
        <v>42</v>
      </c>
      <c r="O1045" t="str">
        <f>IF(TRIM(J1045)="","NULL",IFERROR(VLOOKUP(TRIM(J1045),Lookup_PropertyType!$A:$B,2,FALSE()),"other"))</f>
        <v>apartment</v>
      </c>
      <c r="P1045">
        <f t="shared" si="16"/>
        <v>0</v>
      </c>
    </row>
    <row r="1046" spans="1:16" ht="15.75" customHeight="1" x14ac:dyDescent="0.35">
      <c r="A1046" s="13">
        <v>1045</v>
      </c>
      <c r="B1046" s="14">
        <v>45985</v>
      </c>
      <c r="C1046" s="14">
        <v>46027</v>
      </c>
      <c r="D1046" s="18" t="s">
        <v>32</v>
      </c>
      <c r="E1046" s="17">
        <v>16593</v>
      </c>
      <c r="F1046" s="13">
        <v>180</v>
      </c>
      <c r="G1046" s="13">
        <v>980</v>
      </c>
      <c r="H1046" s="19">
        <v>350000</v>
      </c>
      <c r="I1046" s="19">
        <v>30000</v>
      </c>
      <c r="J1046" s="20" t="s">
        <v>33</v>
      </c>
      <c r="K1046" s="13">
        <v>70</v>
      </c>
      <c r="L1046" s="18" t="s">
        <v>34</v>
      </c>
      <c r="M1046" s="21" t="s">
        <v>39</v>
      </c>
      <c r="N1046" s="16" t="s">
        <v>43</v>
      </c>
      <c r="O1046" t="str">
        <f>IF(TRIM(J1046)="","NULL",IFERROR(VLOOKUP(TRIM(J1046),Lookup_PropertyType!$A:$B,2,FALSE()),"other"))</f>
        <v>apartment</v>
      </c>
      <c r="P1046">
        <f t="shared" si="16"/>
        <v>1</v>
      </c>
    </row>
    <row r="1047" spans="1:16" ht="15.75" customHeight="1" x14ac:dyDescent="0.35">
      <c r="A1047" s="13">
        <v>1046</v>
      </c>
      <c r="B1047" s="14">
        <v>45988</v>
      </c>
      <c r="C1047" s="15"/>
      <c r="D1047" s="18" t="s">
        <v>49</v>
      </c>
      <c r="E1047" s="17">
        <v>3300</v>
      </c>
      <c r="F1047" s="13">
        <v>180</v>
      </c>
      <c r="G1047" s="13">
        <v>397</v>
      </c>
      <c r="H1047" s="19">
        <v>200000</v>
      </c>
      <c r="I1047" s="19">
        <v>30000</v>
      </c>
      <c r="J1047" s="20" t="s">
        <v>33</v>
      </c>
      <c r="K1047" s="13">
        <v>47</v>
      </c>
      <c r="L1047" s="18" t="s">
        <v>38</v>
      </c>
      <c r="M1047" s="21" t="s">
        <v>54</v>
      </c>
      <c r="N1047" s="16" t="s">
        <v>42</v>
      </c>
      <c r="O1047" t="str">
        <f>IF(TRIM(J1047)="","NULL",IFERROR(VLOOKUP(TRIM(J1047),Lookup_PropertyType!$A:$B,2,FALSE()),"other"))</f>
        <v>apartment</v>
      </c>
      <c r="P1047">
        <f t="shared" si="16"/>
        <v>0</v>
      </c>
    </row>
    <row r="1048" spans="1:16" ht="15.75" customHeight="1" x14ac:dyDescent="0.35">
      <c r="A1048" s="13">
        <v>1047</v>
      </c>
      <c r="B1048" s="14">
        <v>45985</v>
      </c>
      <c r="C1048" s="15"/>
      <c r="D1048" s="18" t="s">
        <v>32</v>
      </c>
      <c r="E1048" s="17">
        <v>8000</v>
      </c>
      <c r="F1048" s="13">
        <v>120</v>
      </c>
      <c r="G1048" s="13">
        <v>875</v>
      </c>
      <c r="H1048" s="19">
        <v>400000</v>
      </c>
      <c r="I1048" s="19">
        <v>100000</v>
      </c>
      <c r="J1048" s="20" t="s">
        <v>33</v>
      </c>
      <c r="K1048" s="13">
        <v>44</v>
      </c>
      <c r="L1048" s="18" t="s">
        <v>45</v>
      </c>
      <c r="M1048" s="18" t="s">
        <v>35</v>
      </c>
      <c r="N1048" s="16" t="s">
        <v>36</v>
      </c>
      <c r="O1048" t="str">
        <f>IF(TRIM(J1048)="","NULL",IFERROR(VLOOKUP(TRIM(J1048),Lookup_PropertyType!$A:$B,2,FALSE()),"other"))</f>
        <v>apartment</v>
      </c>
      <c r="P1048">
        <f t="shared" si="16"/>
        <v>0</v>
      </c>
    </row>
    <row r="1049" spans="1:16" ht="15.75" customHeight="1" x14ac:dyDescent="0.35">
      <c r="A1049" s="13">
        <v>1048</v>
      </c>
      <c r="B1049" s="14">
        <v>45983</v>
      </c>
      <c r="C1049" s="15"/>
      <c r="D1049" s="18" t="s">
        <v>76</v>
      </c>
      <c r="E1049" s="17">
        <v>10000</v>
      </c>
      <c r="F1049" s="13">
        <v>120</v>
      </c>
      <c r="G1049" s="13">
        <v>412</v>
      </c>
      <c r="H1049" s="19">
        <v>350000</v>
      </c>
      <c r="I1049" s="19">
        <v>100000</v>
      </c>
      <c r="J1049" s="20" t="s">
        <v>33</v>
      </c>
      <c r="K1049" s="13">
        <v>50</v>
      </c>
      <c r="L1049" s="18" t="s">
        <v>41</v>
      </c>
      <c r="M1049" s="21" t="s">
        <v>39</v>
      </c>
      <c r="N1049" s="16" t="s">
        <v>50</v>
      </c>
      <c r="O1049" t="str">
        <f>IF(TRIM(J1049)="","NULL",IFERROR(VLOOKUP(TRIM(J1049),Lookup_PropertyType!$A:$B,2,FALSE()),"other"))</f>
        <v>apartment</v>
      </c>
      <c r="P1049">
        <f t="shared" si="16"/>
        <v>0</v>
      </c>
    </row>
    <row r="1050" spans="1:16" ht="15.75" customHeight="1" x14ac:dyDescent="0.35">
      <c r="A1050" s="13">
        <v>1049</v>
      </c>
      <c r="B1050" s="14">
        <v>45991</v>
      </c>
      <c r="C1050" s="15"/>
      <c r="D1050" s="18" t="s">
        <v>32</v>
      </c>
      <c r="E1050" s="17">
        <v>20000</v>
      </c>
      <c r="F1050" s="13">
        <v>90</v>
      </c>
      <c r="G1050" s="13">
        <v>611</v>
      </c>
      <c r="H1050" s="19">
        <v>1200000</v>
      </c>
      <c r="I1050" s="19">
        <v>1278949</v>
      </c>
      <c r="J1050" s="20" t="s">
        <v>33</v>
      </c>
      <c r="K1050" s="13">
        <v>28</v>
      </c>
      <c r="L1050" s="18" t="s">
        <v>59</v>
      </c>
      <c r="M1050" s="18" t="s">
        <v>39</v>
      </c>
      <c r="N1050" s="16" t="s">
        <v>51</v>
      </c>
      <c r="O1050" t="str">
        <f>IF(TRIM(J1050)="","NULL",IFERROR(VLOOKUP(TRIM(J1050),Lookup_PropertyType!$A:$B,2,FALSE()),"other"))</f>
        <v>apartment</v>
      </c>
      <c r="P1050">
        <f t="shared" si="16"/>
        <v>0</v>
      </c>
    </row>
    <row r="1051" spans="1:16" ht="15.75" customHeight="1" x14ac:dyDescent="0.35">
      <c r="A1051" s="13">
        <v>1050</v>
      </c>
      <c r="B1051" s="14">
        <v>45991</v>
      </c>
      <c r="C1051" s="14">
        <v>46045</v>
      </c>
      <c r="D1051" s="18" t="s">
        <v>32</v>
      </c>
      <c r="E1051" s="17">
        <v>11600</v>
      </c>
      <c r="F1051" s="13">
        <v>180</v>
      </c>
      <c r="G1051" s="13">
        <v>470</v>
      </c>
      <c r="H1051" s="19">
        <v>300000</v>
      </c>
      <c r="I1051" s="19">
        <v>80000</v>
      </c>
      <c r="J1051" s="20" t="s">
        <v>37</v>
      </c>
      <c r="K1051" s="13">
        <v>42</v>
      </c>
      <c r="L1051" s="18" t="s">
        <v>38</v>
      </c>
      <c r="M1051" s="21" t="s">
        <v>39</v>
      </c>
      <c r="N1051" s="16" t="s">
        <v>42</v>
      </c>
      <c r="O1051" t="str">
        <f>IF(TRIM(J1051)="","NULL",IFERROR(VLOOKUP(TRIM(J1051),Lookup_PropertyType!$A:$B,2,FALSE()),"other"))</f>
        <v>house</v>
      </c>
      <c r="P1051">
        <f t="shared" si="16"/>
        <v>1</v>
      </c>
    </row>
    <row r="1052" spans="1:16" ht="15.75" customHeight="1" x14ac:dyDescent="0.35">
      <c r="A1052" s="13">
        <v>1051</v>
      </c>
      <c r="B1052" s="14">
        <v>46038</v>
      </c>
      <c r="C1052" s="15"/>
      <c r="D1052" s="18" t="s">
        <v>32</v>
      </c>
      <c r="E1052" s="17">
        <v>10000</v>
      </c>
      <c r="F1052" s="13">
        <v>180</v>
      </c>
      <c r="G1052" s="13">
        <v>435</v>
      </c>
      <c r="H1052" s="19">
        <v>230000</v>
      </c>
      <c r="I1052" s="19">
        <v>30000</v>
      </c>
      <c r="J1052" s="20" t="s">
        <v>79</v>
      </c>
      <c r="K1052" s="13">
        <v>40</v>
      </c>
      <c r="L1052" s="18" t="s">
        <v>38</v>
      </c>
      <c r="M1052" s="21" t="s">
        <v>39</v>
      </c>
      <c r="N1052" s="16" t="s">
        <v>42</v>
      </c>
      <c r="O1052" t="str">
        <f>IF(TRIM(J1052)="","NULL",IFERROR(VLOOKUP(TRIM(J1052),Lookup_PropertyType!$A:$B,2,FALSE()),"other"))</f>
        <v>house</v>
      </c>
      <c r="P1052">
        <f t="shared" si="16"/>
        <v>0</v>
      </c>
    </row>
    <row r="1053" spans="1:16" ht="15.75" customHeight="1" x14ac:dyDescent="0.35">
      <c r="A1053" s="13">
        <v>1052</v>
      </c>
      <c r="B1053" s="14">
        <v>46002</v>
      </c>
      <c r="C1053" s="15"/>
      <c r="D1053" s="18" t="s">
        <v>32</v>
      </c>
      <c r="E1053" s="17">
        <v>16000</v>
      </c>
      <c r="F1053" s="13">
        <v>150</v>
      </c>
      <c r="G1053" s="13">
        <v>844</v>
      </c>
      <c r="H1053" s="19">
        <v>1250000</v>
      </c>
      <c r="I1053" s="19">
        <v>600000</v>
      </c>
      <c r="J1053" s="20" t="s">
        <v>33</v>
      </c>
      <c r="K1053" s="13">
        <v>62</v>
      </c>
      <c r="L1053" s="18" t="s">
        <v>41</v>
      </c>
      <c r="M1053" s="21" t="s">
        <v>39</v>
      </c>
      <c r="N1053" s="16" t="s">
        <v>36</v>
      </c>
      <c r="O1053" t="str">
        <f>IF(TRIM(J1053)="","NULL",IFERROR(VLOOKUP(TRIM(J1053),Lookup_PropertyType!$A:$B,2,FALSE()),"other"))</f>
        <v>apartment</v>
      </c>
      <c r="P1053">
        <f t="shared" si="16"/>
        <v>0</v>
      </c>
    </row>
    <row r="1054" spans="1:16" ht="15.75" customHeight="1" x14ac:dyDescent="0.35">
      <c r="A1054" s="13">
        <v>1053</v>
      </c>
      <c r="B1054" s="14">
        <v>45990</v>
      </c>
      <c r="C1054" s="15"/>
      <c r="D1054" s="18" t="s">
        <v>32</v>
      </c>
      <c r="E1054" s="17">
        <v>15000</v>
      </c>
      <c r="F1054" s="13">
        <v>180</v>
      </c>
      <c r="G1054" s="13">
        <v>621</v>
      </c>
      <c r="H1054" s="19">
        <v>750000</v>
      </c>
      <c r="I1054" s="19">
        <v>250000</v>
      </c>
      <c r="J1054" s="20" t="s">
        <v>33</v>
      </c>
      <c r="K1054" s="13">
        <v>41</v>
      </c>
      <c r="L1054" s="18" t="s">
        <v>41</v>
      </c>
      <c r="M1054" s="18" t="s">
        <v>35</v>
      </c>
      <c r="N1054" s="16" t="s">
        <v>36</v>
      </c>
      <c r="O1054" t="str">
        <f>IF(TRIM(J1054)="","NULL",IFERROR(VLOOKUP(TRIM(J1054),Lookup_PropertyType!$A:$B,2,FALSE()),"other"))</f>
        <v>apartment</v>
      </c>
      <c r="P1054">
        <f t="shared" si="16"/>
        <v>0</v>
      </c>
    </row>
    <row r="1055" spans="1:16" ht="15.75" customHeight="1" x14ac:dyDescent="0.35">
      <c r="A1055" s="13">
        <v>1054</v>
      </c>
      <c r="B1055" s="14">
        <v>46052</v>
      </c>
      <c r="C1055" s="15"/>
      <c r="D1055" s="18" t="s">
        <v>46</v>
      </c>
      <c r="E1055" s="17">
        <v>6000</v>
      </c>
      <c r="F1055" s="13">
        <v>180</v>
      </c>
      <c r="G1055" s="13">
        <v>327</v>
      </c>
      <c r="H1055" s="19">
        <v>250000</v>
      </c>
      <c r="I1055" s="19">
        <v>30000</v>
      </c>
      <c r="J1055" s="20" t="s">
        <v>37</v>
      </c>
      <c r="K1055" s="13">
        <v>39</v>
      </c>
      <c r="L1055" s="18" t="s">
        <v>41</v>
      </c>
      <c r="M1055" s="18" t="s">
        <v>72</v>
      </c>
      <c r="N1055" s="16" t="s">
        <v>36</v>
      </c>
      <c r="O1055" t="str">
        <f>IF(TRIM(J1055)="","NULL",IFERROR(VLOOKUP(TRIM(J1055),Lookup_PropertyType!$A:$B,2,FALSE()),"other"))</f>
        <v>house</v>
      </c>
      <c r="P1055">
        <f t="shared" si="16"/>
        <v>0</v>
      </c>
    </row>
    <row r="1056" spans="1:16" ht="15.75" customHeight="1" x14ac:dyDescent="0.35">
      <c r="A1056" s="13">
        <v>1055</v>
      </c>
      <c r="B1056" s="14">
        <v>45990</v>
      </c>
      <c r="C1056" s="15"/>
      <c r="D1056" s="18" t="s">
        <v>32</v>
      </c>
      <c r="E1056" s="17">
        <v>25000</v>
      </c>
      <c r="F1056" s="13">
        <v>120</v>
      </c>
      <c r="G1056" s="13">
        <v>880</v>
      </c>
      <c r="H1056" s="19">
        <v>900000</v>
      </c>
      <c r="I1056" s="19">
        <v>390000</v>
      </c>
      <c r="J1056" s="20" t="s">
        <v>33</v>
      </c>
      <c r="K1056" s="13">
        <v>38</v>
      </c>
      <c r="L1056" s="18" t="s">
        <v>41</v>
      </c>
      <c r="M1056" s="21" t="s">
        <v>35</v>
      </c>
      <c r="N1056" s="16" t="s">
        <v>42</v>
      </c>
      <c r="O1056" t="str">
        <f>IF(TRIM(J1056)="","NULL",IFERROR(VLOOKUP(TRIM(J1056),Lookup_PropertyType!$A:$B,2,FALSE()),"other"))</f>
        <v>apartment</v>
      </c>
      <c r="P1056">
        <f t="shared" si="16"/>
        <v>0</v>
      </c>
    </row>
    <row r="1057" spans="1:16" ht="15.75" customHeight="1" x14ac:dyDescent="0.35">
      <c r="A1057" s="13">
        <v>1056</v>
      </c>
      <c r="B1057" s="14">
        <v>46037</v>
      </c>
      <c r="C1057" s="15"/>
      <c r="D1057" s="18" t="s">
        <v>49</v>
      </c>
      <c r="E1057" s="17">
        <v>12000</v>
      </c>
      <c r="F1057" s="13">
        <v>180</v>
      </c>
      <c r="G1057" s="13">
        <v>907</v>
      </c>
      <c r="H1057" s="19">
        <v>1800000</v>
      </c>
      <c r="I1057" s="19">
        <v>150000</v>
      </c>
      <c r="J1057" s="20" t="s">
        <v>37</v>
      </c>
      <c r="K1057" s="13">
        <v>56</v>
      </c>
      <c r="L1057" s="18" t="s">
        <v>38</v>
      </c>
      <c r="M1057" s="18" t="s">
        <v>39</v>
      </c>
      <c r="N1057" s="16" t="s">
        <v>36</v>
      </c>
      <c r="O1057" t="str">
        <f>IF(TRIM(J1057)="","NULL",IFERROR(VLOOKUP(TRIM(J1057),Lookup_PropertyType!$A:$B,2,FALSE()),"other"))</f>
        <v>house</v>
      </c>
      <c r="P1057">
        <f t="shared" si="16"/>
        <v>0</v>
      </c>
    </row>
    <row r="1058" spans="1:16" ht="15.75" customHeight="1" x14ac:dyDescent="0.35">
      <c r="A1058" s="13">
        <v>1057</v>
      </c>
      <c r="B1058" s="14">
        <v>46083</v>
      </c>
      <c r="C1058" s="15"/>
      <c r="D1058" s="18" t="s">
        <v>44</v>
      </c>
      <c r="E1058" s="17">
        <v>8000</v>
      </c>
      <c r="F1058" s="13">
        <v>180</v>
      </c>
      <c r="G1058" s="13">
        <v>522</v>
      </c>
      <c r="H1058" s="19">
        <v>350000</v>
      </c>
      <c r="I1058" s="19">
        <v>150000</v>
      </c>
      <c r="J1058" s="20" t="s">
        <v>33</v>
      </c>
      <c r="K1058" s="13">
        <v>44</v>
      </c>
      <c r="L1058" s="18" t="s">
        <v>64</v>
      </c>
      <c r="M1058" s="18" t="s">
        <v>39</v>
      </c>
      <c r="N1058" s="16" t="s">
        <v>50</v>
      </c>
      <c r="O1058" t="str">
        <f>IF(TRIM(J1058)="","NULL",IFERROR(VLOOKUP(TRIM(J1058),Lookup_PropertyType!$A:$B,2,FALSE()),"other"))</f>
        <v>apartment</v>
      </c>
      <c r="P1058">
        <f t="shared" si="16"/>
        <v>0</v>
      </c>
    </row>
    <row r="1059" spans="1:16" ht="15.75" customHeight="1" x14ac:dyDescent="0.35">
      <c r="A1059" s="13">
        <v>1058</v>
      </c>
      <c r="B1059" s="14">
        <v>45991</v>
      </c>
      <c r="C1059" s="15"/>
      <c r="D1059" s="18" t="s">
        <v>58</v>
      </c>
      <c r="E1059" s="17">
        <v>6000</v>
      </c>
      <c r="F1059" s="13">
        <v>150</v>
      </c>
      <c r="G1059" s="13">
        <v>606</v>
      </c>
      <c r="H1059" s="19">
        <v>400000</v>
      </c>
      <c r="I1059" s="19">
        <v>100000</v>
      </c>
      <c r="J1059" s="20" t="s">
        <v>33</v>
      </c>
      <c r="K1059" s="13">
        <v>55</v>
      </c>
      <c r="L1059" s="18" t="s">
        <v>41</v>
      </c>
      <c r="M1059" s="21" t="s">
        <v>39</v>
      </c>
      <c r="N1059" s="16" t="s">
        <v>50</v>
      </c>
      <c r="O1059" t="str">
        <f>IF(TRIM(J1059)="","NULL",IFERROR(VLOOKUP(TRIM(J1059),Lookup_PropertyType!$A:$B,2,FALSE()),"other"))</f>
        <v>apartment</v>
      </c>
      <c r="P1059">
        <f t="shared" si="16"/>
        <v>0</v>
      </c>
    </row>
    <row r="1060" spans="1:16" ht="15.75" customHeight="1" x14ac:dyDescent="0.35">
      <c r="A1060" s="13">
        <v>1059</v>
      </c>
      <c r="B1060" s="14">
        <v>46002</v>
      </c>
      <c r="C1060" s="15"/>
      <c r="D1060" s="18" t="s">
        <v>32</v>
      </c>
      <c r="E1060" s="17">
        <v>30000</v>
      </c>
      <c r="F1060" s="13">
        <v>90</v>
      </c>
      <c r="G1060" s="13">
        <v>461</v>
      </c>
      <c r="H1060" s="19">
        <v>800000</v>
      </c>
      <c r="I1060" s="19">
        <v>330000</v>
      </c>
      <c r="J1060" s="20" t="s">
        <v>33</v>
      </c>
      <c r="K1060" s="13">
        <v>55</v>
      </c>
      <c r="L1060" s="18" t="s">
        <v>64</v>
      </c>
      <c r="M1060" s="18" t="s">
        <v>35</v>
      </c>
      <c r="N1060" s="16" t="s">
        <v>36</v>
      </c>
      <c r="O1060" t="str">
        <f>IF(TRIM(J1060)="","NULL",IFERROR(VLOOKUP(TRIM(J1060),Lookup_PropertyType!$A:$B,2,FALSE()),"other"))</f>
        <v>apartment</v>
      </c>
      <c r="P1060">
        <f t="shared" si="16"/>
        <v>0</v>
      </c>
    </row>
    <row r="1061" spans="1:16" ht="15.75" customHeight="1" x14ac:dyDescent="0.35">
      <c r="A1061" s="13">
        <v>1060</v>
      </c>
      <c r="B1061" s="14">
        <v>45990</v>
      </c>
      <c r="C1061" s="15"/>
      <c r="D1061" s="18" t="s">
        <v>44</v>
      </c>
      <c r="E1061" s="17">
        <v>12000</v>
      </c>
      <c r="F1061" s="13">
        <v>90</v>
      </c>
      <c r="G1061" s="13">
        <v>621</v>
      </c>
      <c r="H1061" s="19">
        <v>800000</v>
      </c>
      <c r="I1061" s="19">
        <v>200000</v>
      </c>
      <c r="J1061" s="20" t="s">
        <v>33</v>
      </c>
      <c r="K1061" s="13">
        <v>62</v>
      </c>
      <c r="L1061" s="18" t="s">
        <v>41</v>
      </c>
      <c r="M1061" s="21" t="s">
        <v>39</v>
      </c>
      <c r="N1061" s="18" t="s">
        <v>36</v>
      </c>
      <c r="O1061" t="str">
        <f>IF(TRIM(J1061)="","NULL",IFERROR(VLOOKUP(TRIM(J1061),Lookup_PropertyType!$A:$B,2,FALSE()),"other"))</f>
        <v>apartment</v>
      </c>
      <c r="P1061">
        <f t="shared" si="16"/>
        <v>0</v>
      </c>
    </row>
    <row r="1062" spans="1:16" ht="15.75" customHeight="1" x14ac:dyDescent="0.35">
      <c r="A1062" s="13">
        <v>1061</v>
      </c>
      <c r="B1062" s="14">
        <v>45995</v>
      </c>
      <c r="C1062" s="15"/>
      <c r="D1062" s="18" t="s">
        <v>32</v>
      </c>
      <c r="E1062" s="17">
        <v>10000</v>
      </c>
      <c r="F1062" s="13">
        <v>180</v>
      </c>
      <c r="G1062" s="13">
        <v>619</v>
      </c>
      <c r="H1062" s="19">
        <v>300000</v>
      </c>
      <c r="I1062" s="19">
        <v>100000</v>
      </c>
      <c r="J1062" s="20" t="s">
        <v>33</v>
      </c>
      <c r="K1062" s="13">
        <v>43</v>
      </c>
      <c r="L1062" s="18" t="s">
        <v>38</v>
      </c>
      <c r="M1062" s="21" t="s">
        <v>39</v>
      </c>
      <c r="N1062" s="18" t="s">
        <v>42</v>
      </c>
      <c r="O1062" t="str">
        <f>IF(TRIM(J1062)="","NULL",IFERROR(VLOOKUP(TRIM(J1062),Lookup_PropertyType!$A:$B,2,FALSE()),"other"))</f>
        <v>apartment</v>
      </c>
      <c r="P1062">
        <f t="shared" si="16"/>
        <v>0</v>
      </c>
    </row>
    <row r="1063" spans="1:16" ht="15.75" customHeight="1" x14ac:dyDescent="0.35">
      <c r="A1063" s="13">
        <v>1062</v>
      </c>
      <c r="B1063" s="14">
        <v>45998</v>
      </c>
      <c r="C1063" s="15"/>
      <c r="D1063" s="18" t="s">
        <v>32</v>
      </c>
      <c r="E1063" s="17">
        <v>3200</v>
      </c>
      <c r="F1063" s="13">
        <v>180</v>
      </c>
      <c r="G1063" s="13">
        <v>947</v>
      </c>
      <c r="H1063" s="19">
        <v>460000</v>
      </c>
      <c r="I1063" s="19">
        <v>110000</v>
      </c>
      <c r="J1063" s="20" t="s">
        <v>33</v>
      </c>
      <c r="K1063" s="13">
        <v>31</v>
      </c>
      <c r="L1063" s="18" t="s">
        <v>41</v>
      </c>
      <c r="M1063" s="18" t="s">
        <v>35</v>
      </c>
      <c r="N1063" s="18" t="s">
        <v>42</v>
      </c>
      <c r="O1063" t="str">
        <f>IF(TRIM(J1063)="","NULL",IFERROR(VLOOKUP(TRIM(J1063),Lookup_PropertyType!$A:$B,2,FALSE()),"other"))</f>
        <v>apartment</v>
      </c>
      <c r="P1063">
        <f t="shared" si="16"/>
        <v>0</v>
      </c>
    </row>
    <row r="1064" spans="1:16" ht="15.75" customHeight="1" x14ac:dyDescent="0.35">
      <c r="A1064" s="13">
        <v>1063</v>
      </c>
      <c r="B1064" s="14">
        <v>46013</v>
      </c>
      <c r="C1064" s="15"/>
      <c r="D1064" s="18" t="s">
        <v>77</v>
      </c>
      <c r="E1064" s="17">
        <v>10000</v>
      </c>
      <c r="F1064" s="13">
        <v>180</v>
      </c>
      <c r="G1064" s="13">
        <v>372</v>
      </c>
      <c r="H1064" s="19">
        <v>1500000</v>
      </c>
      <c r="I1064" s="19">
        <v>150000</v>
      </c>
      <c r="J1064" s="20" t="s">
        <v>33</v>
      </c>
      <c r="K1064" s="13">
        <v>38</v>
      </c>
      <c r="L1064" s="18" t="s">
        <v>41</v>
      </c>
      <c r="M1064" s="18" t="s">
        <v>35</v>
      </c>
      <c r="N1064" s="18" t="s">
        <v>36</v>
      </c>
      <c r="O1064" t="str">
        <f>IF(TRIM(J1064)="","NULL",IFERROR(VLOOKUP(TRIM(J1064),Lookup_PropertyType!$A:$B,2,FALSE()),"other"))</f>
        <v>apartment</v>
      </c>
      <c r="P1064">
        <f t="shared" si="16"/>
        <v>0</v>
      </c>
    </row>
    <row r="1065" spans="1:16" ht="15.75" customHeight="1" x14ac:dyDescent="0.35">
      <c r="A1065" s="13">
        <v>1064</v>
      </c>
      <c r="B1065" s="14">
        <v>45989</v>
      </c>
      <c r="C1065" s="15"/>
      <c r="D1065" s="18" t="s">
        <v>32</v>
      </c>
      <c r="E1065" s="17">
        <v>7000</v>
      </c>
      <c r="F1065" s="13">
        <v>120</v>
      </c>
      <c r="G1065" s="13">
        <v>554</v>
      </c>
      <c r="H1065" s="19">
        <v>600000</v>
      </c>
      <c r="I1065" s="19">
        <v>300000</v>
      </c>
      <c r="J1065" s="20" t="s">
        <v>33</v>
      </c>
      <c r="K1065" s="13">
        <v>27</v>
      </c>
      <c r="L1065" s="18" t="s">
        <v>41</v>
      </c>
      <c r="M1065" s="18" t="s">
        <v>39</v>
      </c>
      <c r="N1065" s="18" t="s">
        <v>36</v>
      </c>
      <c r="O1065" t="str">
        <f>IF(TRIM(J1065)="","NULL",IFERROR(VLOOKUP(TRIM(J1065),Lookup_PropertyType!$A:$B,2,FALSE()),"other"))</f>
        <v>apartment</v>
      </c>
      <c r="P1065">
        <f t="shared" si="16"/>
        <v>0</v>
      </c>
    </row>
    <row r="1066" spans="1:16" ht="15.75" customHeight="1" x14ac:dyDescent="0.35">
      <c r="A1066" s="13">
        <v>1065</v>
      </c>
      <c r="B1066" s="14">
        <v>45988</v>
      </c>
      <c r="C1066" s="15"/>
      <c r="D1066" s="18" t="s">
        <v>46</v>
      </c>
      <c r="E1066" s="17">
        <v>20000</v>
      </c>
      <c r="F1066" s="13">
        <v>150</v>
      </c>
      <c r="G1066" s="13">
        <v>492</v>
      </c>
      <c r="H1066" s="19">
        <v>1000000</v>
      </c>
      <c r="I1066" s="19">
        <v>400000</v>
      </c>
      <c r="J1066" s="20" t="s">
        <v>37</v>
      </c>
      <c r="K1066" s="13">
        <v>55</v>
      </c>
      <c r="L1066" s="18" t="s">
        <v>41</v>
      </c>
      <c r="M1066" s="21" t="s">
        <v>39</v>
      </c>
      <c r="N1066" s="18" t="s">
        <v>36</v>
      </c>
      <c r="O1066" t="str">
        <f>IF(TRIM(J1066)="","NULL",IFERROR(VLOOKUP(TRIM(J1066),Lookup_PropertyType!$A:$B,2,FALSE()),"other"))</f>
        <v>house</v>
      </c>
      <c r="P1066">
        <f t="shared" si="16"/>
        <v>0</v>
      </c>
    </row>
    <row r="1067" spans="1:16" ht="15.75" customHeight="1" x14ac:dyDescent="0.35">
      <c r="A1067" s="13">
        <v>1066</v>
      </c>
      <c r="B1067" s="14">
        <v>45995</v>
      </c>
      <c r="C1067" s="15"/>
      <c r="D1067" s="18" t="s">
        <v>32</v>
      </c>
      <c r="E1067" s="17">
        <v>5000</v>
      </c>
      <c r="F1067" s="13">
        <v>180</v>
      </c>
      <c r="G1067" s="13">
        <v>784</v>
      </c>
      <c r="H1067" s="19">
        <v>600000</v>
      </c>
      <c r="I1067" s="19">
        <v>60000</v>
      </c>
      <c r="J1067" s="20" t="s">
        <v>53</v>
      </c>
      <c r="K1067" s="13">
        <v>58</v>
      </c>
      <c r="L1067" s="18" t="s">
        <v>38</v>
      </c>
      <c r="M1067" s="21" t="s">
        <v>39</v>
      </c>
      <c r="N1067" s="18"/>
      <c r="O1067" t="str">
        <f>IF(TRIM(J1067)="","NULL",IFERROR(VLOOKUP(TRIM(J1067),Lookup_PropertyType!$A:$B,2,FALSE()),"other"))</f>
        <v>other</v>
      </c>
      <c r="P1067">
        <f t="shared" si="16"/>
        <v>0</v>
      </c>
    </row>
    <row r="1068" spans="1:16" ht="15.75" customHeight="1" x14ac:dyDescent="0.35">
      <c r="A1068" s="13">
        <v>1067</v>
      </c>
      <c r="B1068" s="14">
        <v>45996</v>
      </c>
      <c r="C1068" s="15"/>
      <c r="D1068" s="18" t="s">
        <v>49</v>
      </c>
      <c r="E1068" s="17">
        <v>6000</v>
      </c>
      <c r="F1068" s="13">
        <v>150</v>
      </c>
      <c r="G1068" s="13">
        <v>745</v>
      </c>
      <c r="H1068" s="19">
        <v>400000</v>
      </c>
      <c r="I1068" s="19">
        <v>30000</v>
      </c>
      <c r="J1068" s="20" t="s">
        <v>33</v>
      </c>
      <c r="K1068" s="13">
        <v>53</v>
      </c>
      <c r="L1068" s="18" t="s">
        <v>38</v>
      </c>
      <c r="M1068" s="21" t="s">
        <v>39</v>
      </c>
      <c r="N1068" s="16" t="s">
        <v>50</v>
      </c>
      <c r="O1068" t="str">
        <f>IF(TRIM(J1068)="","NULL",IFERROR(VLOOKUP(TRIM(J1068),Lookup_PropertyType!$A:$B,2,FALSE()),"other"))</f>
        <v>apartment</v>
      </c>
      <c r="P1068">
        <f t="shared" si="16"/>
        <v>0</v>
      </c>
    </row>
    <row r="1069" spans="1:16" ht="15.75" customHeight="1" x14ac:dyDescent="0.35">
      <c r="A1069" s="13">
        <v>1068</v>
      </c>
      <c r="B1069" s="14">
        <v>46017</v>
      </c>
      <c r="C1069" s="15"/>
      <c r="D1069" s="18" t="s">
        <v>44</v>
      </c>
      <c r="E1069" s="17">
        <v>24000</v>
      </c>
      <c r="F1069" s="13">
        <v>90</v>
      </c>
      <c r="G1069" s="13">
        <v>723</v>
      </c>
      <c r="H1069" s="19">
        <v>1200000</v>
      </c>
      <c r="I1069" s="19">
        <v>400000</v>
      </c>
      <c r="J1069" s="20" t="s">
        <v>37</v>
      </c>
      <c r="K1069" s="13">
        <v>43</v>
      </c>
      <c r="L1069" s="18" t="s">
        <v>45</v>
      </c>
      <c r="M1069" s="21" t="s">
        <v>39</v>
      </c>
      <c r="N1069" s="18" t="s">
        <v>36</v>
      </c>
      <c r="O1069" t="str">
        <f>IF(TRIM(J1069)="","NULL",IFERROR(VLOOKUP(TRIM(J1069),Lookup_PropertyType!$A:$B,2,FALSE()),"other"))</f>
        <v>house</v>
      </c>
      <c r="P1069">
        <f t="shared" si="16"/>
        <v>0</v>
      </c>
    </row>
    <row r="1070" spans="1:16" ht="15.75" customHeight="1" x14ac:dyDescent="0.35">
      <c r="A1070" s="13">
        <v>1069</v>
      </c>
      <c r="B1070" s="14">
        <v>45990</v>
      </c>
      <c r="C1070" s="15"/>
      <c r="D1070" s="18" t="s">
        <v>32</v>
      </c>
      <c r="E1070" s="17">
        <v>3400</v>
      </c>
      <c r="F1070" s="13">
        <v>180</v>
      </c>
      <c r="G1070" s="13">
        <v>386</v>
      </c>
      <c r="H1070" s="19">
        <v>400000</v>
      </c>
      <c r="I1070" s="19">
        <v>50000</v>
      </c>
      <c r="J1070" s="20" t="s">
        <v>60</v>
      </c>
      <c r="K1070" s="13">
        <v>45</v>
      </c>
      <c r="L1070" s="18" t="s">
        <v>38</v>
      </c>
      <c r="M1070" s="18" t="s">
        <v>39</v>
      </c>
      <c r="N1070" s="18" t="s">
        <v>42</v>
      </c>
      <c r="O1070" t="str">
        <f>IF(TRIM(J1070)="","NULL",IFERROR(VLOOKUP(TRIM(J1070),Lookup_PropertyType!$A:$B,2,FALSE()),"other"))</f>
        <v>other</v>
      </c>
      <c r="P1070">
        <f t="shared" si="16"/>
        <v>0</v>
      </c>
    </row>
    <row r="1071" spans="1:16" ht="15.75" customHeight="1" x14ac:dyDescent="0.35">
      <c r="A1071" s="13">
        <v>1070</v>
      </c>
      <c r="B1071" s="14">
        <v>45991</v>
      </c>
      <c r="C1071" s="14">
        <v>46104</v>
      </c>
      <c r="D1071" s="18" t="s">
        <v>32</v>
      </c>
      <c r="E1071" s="17">
        <v>25000</v>
      </c>
      <c r="F1071" s="13">
        <v>180</v>
      </c>
      <c r="G1071" s="13">
        <v>733</v>
      </c>
      <c r="H1071" s="19">
        <v>1000000</v>
      </c>
      <c r="I1071" s="19">
        <v>400000</v>
      </c>
      <c r="J1071" s="20" t="s">
        <v>33</v>
      </c>
      <c r="K1071" s="13">
        <v>48</v>
      </c>
      <c r="L1071" s="18" t="s">
        <v>41</v>
      </c>
      <c r="M1071" s="18" t="s">
        <v>48</v>
      </c>
      <c r="N1071" s="18" t="s">
        <v>42</v>
      </c>
      <c r="O1071" t="str">
        <f>IF(TRIM(J1071)="","NULL",IFERROR(VLOOKUP(TRIM(J1071),Lookup_PropertyType!$A:$B,2,FALSE()),"other"))</f>
        <v>apartment</v>
      </c>
      <c r="P1071">
        <f t="shared" si="16"/>
        <v>1</v>
      </c>
    </row>
    <row r="1072" spans="1:16" ht="15.75" customHeight="1" x14ac:dyDescent="0.35">
      <c r="A1072" s="13">
        <v>1071</v>
      </c>
      <c r="B1072" s="14">
        <v>46018</v>
      </c>
      <c r="C1072" s="15"/>
      <c r="D1072" s="18" t="s">
        <v>65</v>
      </c>
      <c r="E1072" s="17">
        <v>6000</v>
      </c>
      <c r="F1072" s="13">
        <v>180</v>
      </c>
      <c r="G1072" s="13">
        <v>968</v>
      </c>
      <c r="H1072" s="19">
        <v>220000</v>
      </c>
      <c r="I1072" s="19">
        <v>30000</v>
      </c>
      <c r="J1072" s="20" t="s">
        <v>33</v>
      </c>
      <c r="K1072" s="13">
        <v>35</v>
      </c>
      <c r="L1072" s="18" t="s">
        <v>41</v>
      </c>
      <c r="M1072" s="18" t="s">
        <v>72</v>
      </c>
      <c r="N1072" s="18" t="s">
        <v>51</v>
      </c>
      <c r="O1072" t="str">
        <f>IF(TRIM(J1072)="","NULL",IFERROR(VLOOKUP(TRIM(J1072),Lookup_PropertyType!$A:$B,2,FALSE()),"other"))</f>
        <v>apartment</v>
      </c>
      <c r="P1072">
        <f t="shared" si="16"/>
        <v>0</v>
      </c>
    </row>
    <row r="1073" spans="1:16" ht="15.75" customHeight="1" x14ac:dyDescent="0.35">
      <c r="A1073" s="13">
        <v>1072</v>
      </c>
      <c r="B1073" s="14">
        <v>45999</v>
      </c>
      <c r="C1073" s="15"/>
      <c r="D1073" s="18" t="s">
        <v>44</v>
      </c>
      <c r="E1073" s="17">
        <v>10000</v>
      </c>
      <c r="F1073" s="13">
        <v>90</v>
      </c>
      <c r="G1073" s="13">
        <v>287</v>
      </c>
      <c r="H1073" s="19">
        <v>300000</v>
      </c>
      <c r="I1073" s="19">
        <v>50000</v>
      </c>
      <c r="J1073" s="20" t="s">
        <v>37</v>
      </c>
      <c r="K1073" s="13">
        <v>48</v>
      </c>
      <c r="L1073" s="18" t="s">
        <v>38</v>
      </c>
      <c r="M1073" s="21" t="s">
        <v>39</v>
      </c>
      <c r="N1073" s="16" t="s">
        <v>50</v>
      </c>
      <c r="O1073" t="str">
        <f>IF(TRIM(J1073)="","NULL",IFERROR(VLOOKUP(TRIM(J1073),Lookup_PropertyType!$A:$B,2,FALSE()),"other"))</f>
        <v>house</v>
      </c>
      <c r="P1073">
        <f t="shared" si="16"/>
        <v>0</v>
      </c>
    </row>
    <row r="1074" spans="1:16" ht="15.75" customHeight="1" x14ac:dyDescent="0.35">
      <c r="A1074" s="13">
        <v>1073</v>
      </c>
      <c r="B1074" s="14">
        <v>45988</v>
      </c>
      <c r="C1074" s="14">
        <v>46027</v>
      </c>
      <c r="D1074" s="18" t="s">
        <v>32</v>
      </c>
      <c r="E1074" s="17">
        <v>12000</v>
      </c>
      <c r="F1074" s="13">
        <v>120</v>
      </c>
      <c r="G1074" s="13">
        <v>683</v>
      </c>
      <c r="H1074" s="19">
        <v>210000</v>
      </c>
      <c r="I1074" s="19">
        <v>70000</v>
      </c>
      <c r="J1074" s="20" t="s">
        <v>33</v>
      </c>
      <c r="K1074" s="13">
        <v>50</v>
      </c>
      <c r="L1074" s="18" t="s">
        <v>38</v>
      </c>
      <c r="M1074" s="21" t="s">
        <v>39</v>
      </c>
      <c r="N1074" s="18" t="s">
        <v>43</v>
      </c>
      <c r="O1074" t="str">
        <f>IF(TRIM(J1074)="","NULL",IFERROR(VLOOKUP(TRIM(J1074),Lookup_PropertyType!$A:$B,2,FALSE()),"other"))</f>
        <v>apartment</v>
      </c>
      <c r="P1074">
        <f t="shared" si="16"/>
        <v>1</v>
      </c>
    </row>
    <row r="1075" spans="1:16" ht="15.75" customHeight="1" x14ac:dyDescent="0.35">
      <c r="A1075" s="13">
        <v>1074</v>
      </c>
      <c r="B1075" s="14">
        <v>45991</v>
      </c>
      <c r="C1075" s="15"/>
      <c r="D1075" s="18" t="s">
        <v>58</v>
      </c>
      <c r="E1075" s="17">
        <v>8000</v>
      </c>
      <c r="F1075" s="13">
        <v>180</v>
      </c>
      <c r="G1075" s="13">
        <v>781</v>
      </c>
      <c r="H1075" s="19">
        <v>900000</v>
      </c>
      <c r="I1075" s="19">
        <v>150000</v>
      </c>
      <c r="J1075" s="20" t="s">
        <v>37</v>
      </c>
      <c r="K1075" s="13">
        <v>73</v>
      </c>
      <c r="L1075" s="18" t="s">
        <v>45</v>
      </c>
      <c r="M1075" s="21" t="s">
        <v>39</v>
      </c>
      <c r="N1075" s="18" t="s">
        <v>43</v>
      </c>
      <c r="O1075" t="str">
        <f>IF(TRIM(J1075)="","NULL",IFERROR(VLOOKUP(TRIM(J1075),Lookup_PropertyType!$A:$B,2,FALSE()),"other"))</f>
        <v>house</v>
      </c>
      <c r="P1075">
        <f t="shared" si="16"/>
        <v>0</v>
      </c>
    </row>
    <row r="1076" spans="1:16" ht="15.75" customHeight="1" x14ac:dyDescent="0.35">
      <c r="A1076" s="13">
        <v>1075</v>
      </c>
      <c r="B1076" s="14">
        <v>45997</v>
      </c>
      <c r="C1076" s="15"/>
      <c r="D1076" s="18" t="s">
        <v>32</v>
      </c>
      <c r="E1076" s="17">
        <v>10000</v>
      </c>
      <c r="F1076" s="13">
        <v>180</v>
      </c>
      <c r="G1076" s="13">
        <v>865</v>
      </c>
      <c r="H1076" s="19">
        <v>700000</v>
      </c>
      <c r="I1076" s="19">
        <v>50000</v>
      </c>
      <c r="J1076" s="20" t="s">
        <v>37</v>
      </c>
      <c r="K1076" s="13">
        <v>28</v>
      </c>
      <c r="L1076" s="18" t="s">
        <v>41</v>
      </c>
      <c r="M1076" s="18" t="s">
        <v>35</v>
      </c>
      <c r="N1076" s="18" t="s">
        <v>36</v>
      </c>
      <c r="O1076" t="str">
        <f>IF(TRIM(J1076)="","NULL",IFERROR(VLOOKUP(TRIM(J1076),Lookup_PropertyType!$A:$B,2,FALSE()),"other"))</f>
        <v>house</v>
      </c>
      <c r="P1076">
        <f t="shared" si="16"/>
        <v>0</v>
      </c>
    </row>
    <row r="1077" spans="1:16" ht="15.75" customHeight="1" x14ac:dyDescent="0.35">
      <c r="A1077" s="13">
        <v>1076</v>
      </c>
      <c r="B1077" s="14">
        <v>45996</v>
      </c>
      <c r="C1077" s="14">
        <v>46046</v>
      </c>
      <c r="D1077" s="18" t="s">
        <v>44</v>
      </c>
      <c r="E1077" s="17">
        <v>5000</v>
      </c>
      <c r="F1077" s="13">
        <v>180</v>
      </c>
      <c r="G1077" s="13">
        <v>803</v>
      </c>
      <c r="H1077" s="19">
        <v>250000</v>
      </c>
      <c r="I1077" s="19">
        <v>60000</v>
      </c>
      <c r="J1077" s="20" t="s">
        <v>37</v>
      </c>
      <c r="K1077" s="13">
        <v>49</v>
      </c>
      <c r="L1077" s="18" t="s">
        <v>41</v>
      </c>
      <c r="M1077" s="21" t="s">
        <v>39</v>
      </c>
      <c r="N1077" s="18" t="s">
        <v>40</v>
      </c>
      <c r="O1077" t="str">
        <f>IF(TRIM(J1077)="","NULL",IFERROR(VLOOKUP(TRIM(J1077),Lookup_PropertyType!$A:$B,2,FALSE()),"other"))</f>
        <v>house</v>
      </c>
      <c r="P1077">
        <f t="shared" si="16"/>
        <v>1</v>
      </c>
    </row>
    <row r="1078" spans="1:16" ht="15.75" customHeight="1" x14ac:dyDescent="0.35">
      <c r="A1078" s="13">
        <v>1077</v>
      </c>
      <c r="B1078" s="14">
        <v>46011</v>
      </c>
      <c r="C1078" s="15"/>
      <c r="D1078" s="18" t="s">
        <v>32</v>
      </c>
      <c r="E1078" s="17">
        <v>9000</v>
      </c>
      <c r="F1078" s="13">
        <v>180</v>
      </c>
      <c r="G1078" s="13">
        <v>373</v>
      </c>
      <c r="H1078" s="19">
        <v>950000</v>
      </c>
      <c r="I1078" s="19">
        <v>30000</v>
      </c>
      <c r="J1078" s="20" t="s">
        <v>33</v>
      </c>
      <c r="K1078" s="13">
        <v>56</v>
      </c>
      <c r="L1078" s="18" t="s">
        <v>38</v>
      </c>
      <c r="M1078" s="21" t="s">
        <v>39</v>
      </c>
      <c r="N1078" s="18" t="s">
        <v>43</v>
      </c>
      <c r="O1078" t="str">
        <f>IF(TRIM(J1078)="","NULL",IFERROR(VLOOKUP(TRIM(J1078),Lookup_PropertyType!$A:$B,2,FALSE()),"other"))</f>
        <v>apartment</v>
      </c>
      <c r="P1078">
        <f t="shared" si="16"/>
        <v>0</v>
      </c>
    </row>
    <row r="1079" spans="1:16" ht="15.75" customHeight="1" x14ac:dyDescent="0.35">
      <c r="A1079" s="13">
        <v>1078</v>
      </c>
      <c r="B1079" s="14">
        <v>45992</v>
      </c>
      <c r="C1079" s="15"/>
      <c r="D1079" s="18" t="s">
        <v>32</v>
      </c>
      <c r="E1079" s="17">
        <v>4500</v>
      </c>
      <c r="F1079" s="13">
        <v>180</v>
      </c>
      <c r="G1079" s="13">
        <v>440</v>
      </c>
      <c r="H1079" s="19">
        <v>470000</v>
      </c>
      <c r="I1079" s="19">
        <v>150000</v>
      </c>
      <c r="J1079" s="20" t="s">
        <v>37</v>
      </c>
      <c r="K1079" s="13">
        <v>41</v>
      </c>
      <c r="L1079" s="18" t="s">
        <v>38</v>
      </c>
      <c r="M1079" s="21" t="s">
        <v>39</v>
      </c>
      <c r="N1079" s="18" t="s">
        <v>36</v>
      </c>
      <c r="O1079" t="str">
        <f>IF(TRIM(J1079)="","NULL",IFERROR(VLOOKUP(TRIM(J1079),Lookup_PropertyType!$A:$B,2,FALSE()),"other"))</f>
        <v>house</v>
      </c>
      <c r="P1079">
        <f t="shared" si="16"/>
        <v>0</v>
      </c>
    </row>
    <row r="1080" spans="1:16" ht="15.75" customHeight="1" x14ac:dyDescent="0.35">
      <c r="A1080" s="13">
        <v>1079</v>
      </c>
      <c r="B1080" s="14">
        <v>45996</v>
      </c>
      <c r="C1080" s="14">
        <v>46037</v>
      </c>
      <c r="D1080" s="18" t="s">
        <v>57</v>
      </c>
      <c r="E1080" s="17">
        <v>11500</v>
      </c>
      <c r="F1080" s="13">
        <v>180</v>
      </c>
      <c r="G1080" s="13">
        <v>963</v>
      </c>
      <c r="H1080" s="19">
        <v>400000</v>
      </c>
      <c r="I1080" s="19">
        <v>150000</v>
      </c>
      <c r="J1080" s="20" t="s">
        <v>33</v>
      </c>
      <c r="K1080" s="13">
        <v>45</v>
      </c>
      <c r="L1080" s="18" t="s">
        <v>38</v>
      </c>
      <c r="M1080" s="18" t="s">
        <v>35</v>
      </c>
      <c r="N1080" s="18" t="s">
        <v>42</v>
      </c>
      <c r="O1080" t="str">
        <f>IF(TRIM(J1080)="","NULL",IFERROR(VLOOKUP(TRIM(J1080),Lookup_PropertyType!$A:$B,2,FALSE()),"other"))</f>
        <v>apartment</v>
      </c>
      <c r="P1080">
        <f t="shared" si="16"/>
        <v>1</v>
      </c>
    </row>
    <row r="1081" spans="1:16" ht="15.75" customHeight="1" x14ac:dyDescent="0.35">
      <c r="A1081" s="13">
        <v>1080</v>
      </c>
      <c r="B1081" s="14">
        <v>45996</v>
      </c>
      <c r="C1081" s="15"/>
      <c r="D1081" s="18" t="s">
        <v>32</v>
      </c>
      <c r="E1081" s="17">
        <v>22800</v>
      </c>
      <c r="F1081" s="13">
        <v>180</v>
      </c>
      <c r="G1081" s="13">
        <v>863</v>
      </c>
      <c r="H1081" s="19">
        <v>650000</v>
      </c>
      <c r="I1081" s="19">
        <v>200000</v>
      </c>
      <c r="J1081" s="20" t="s">
        <v>33</v>
      </c>
      <c r="K1081" s="13">
        <v>60</v>
      </c>
      <c r="L1081" s="18" t="s">
        <v>34</v>
      </c>
      <c r="M1081" s="21" t="s">
        <v>39</v>
      </c>
      <c r="N1081" s="18" t="s">
        <v>42</v>
      </c>
      <c r="O1081" t="str">
        <f>IF(TRIM(J1081)="","NULL",IFERROR(VLOOKUP(TRIM(J1081),Lookup_PropertyType!$A:$B,2,FALSE()),"other"))</f>
        <v>apartment</v>
      </c>
      <c r="P1081">
        <f t="shared" si="16"/>
        <v>0</v>
      </c>
    </row>
    <row r="1082" spans="1:16" ht="15.75" customHeight="1" x14ac:dyDescent="0.35">
      <c r="A1082" s="13">
        <v>1081</v>
      </c>
      <c r="B1082" s="14">
        <v>45995</v>
      </c>
      <c r="C1082" s="14">
        <v>46039</v>
      </c>
      <c r="D1082" s="18" t="s">
        <v>32</v>
      </c>
      <c r="E1082" s="17">
        <v>23000</v>
      </c>
      <c r="F1082" s="13">
        <v>180</v>
      </c>
      <c r="G1082" s="13">
        <v>474</v>
      </c>
      <c r="H1082" s="19">
        <v>850000</v>
      </c>
      <c r="I1082" s="19">
        <v>250000</v>
      </c>
      <c r="J1082" s="20" t="s">
        <v>37</v>
      </c>
      <c r="K1082" s="13">
        <v>56</v>
      </c>
      <c r="L1082" s="18" t="s">
        <v>34</v>
      </c>
      <c r="M1082" s="21" t="s">
        <v>54</v>
      </c>
      <c r="N1082" s="18" t="s">
        <v>40</v>
      </c>
      <c r="O1082" t="str">
        <f>IF(TRIM(J1082)="","NULL",IFERROR(VLOOKUP(TRIM(J1082),Lookup_PropertyType!$A:$B,2,FALSE()),"other"))</f>
        <v>house</v>
      </c>
      <c r="P1082">
        <f t="shared" si="16"/>
        <v>1</v>
      </c>
    </row>
    <row r="1083" spans="1:16" ht="15.75" customHeight="1" x14ac:dyDescent="0.35">
      <c r="A1083" s="13">
        <v>1082</v>
      </c>
      <c r="B1083" s="14">
        <v>46010</v>
      </c>
      <c r="C1083" s="14">
        <v>46107</v>
      </c>
      <c r="D1083" s="18" t="s">
        <v>44</v>
      </c>
      <c r="E1083" s="17">
        <v>6000</v>
      </c>
      <c r="F1083" s="13">
        <v>90</v>
      </c>
      <c r="G1083" s="13">
        <v>301</v>
      </c>
      <c r="H1083" s="19">
        <v>200000</v>
      </c>
      <c r="I1083" s="19">
        <v>50000</v>
      </c>
      <c r="J1083" s="20" t="s">
        <v>37</v>
      </c>
      <c r="K1083" s="13">
        <v>36</v>
      </c>
      <c r="L1083" s="18" t="s">
        <v>38</v>
      </c>
      <c r="M1083" s="21" t="s">
        <v>39</v>
      </c>
      <c r="N1083" s="18" t="s">
        <v>42</v>
      </c>
      <c r="O1083" t="str">
        <f>IF(TRIM(J1083)="","NULL",IFERROR(VLOOKUP(TRIM(J1083),Lookup_PropertyType!$A:$B,2,FALSE()),"other"))</f>
        <v>house</v>
      </c>
      <c r="P1083">
        <f t="shared" si="16"/>
        <v>1</v>
      </c>
    </row>
    <row r="1084" spans="1:16" ht="15.75" customHeight="1" x14ac:dyDescent="0.35">
      <c r="A1084" s="13">
        <v>1083</v>
      </c>
      <c r="B1084" s="14">
        <v>45991</v>
      </c>
      <c r="C1084" s="14">
        <v>46040</v>
      </c>
      <c r="D1084" s="18" t="s">
        <v>32</v>
      </c>
      <c r="E1084" s="17">
        <v>35000</v>
      </c>
      <c r="F1084" s="13">
        <v>120</v>
      </c>
      <c r="G1084" s="13">
        <v>348</v>
      </c>
      <c r="H1084" s="19">
        <v>1700000</v>
      </c>
      <c r="I1084" s="19">
        <v>150000</v>
      </c>
      <c r="J1084" s="20" t="s">
        <v>33</v>
      </c>
      <c r="K1084" s="13">
        <v>32</v>
      </c>
      <c r="L1084" s="18" t="s">
        <v>41</v>
      </c>
      <c r="M1084" s="18" t="s">
        <v>72</v>
      </c>
      <c r="N1084" s="18" t="s">
        <v>42</v>
      </c>
      <c r="O1084" t="str">
        <f>IF(TRIM(J1084)="","NULL",IFERROR(VLOOKUP(TRIM(J1084),Lookup_PropertyType!$A:$B,2,FALSE()),"other"))</f>
        <v>apartment</v>
      </c>
      <c r="P1084">
        <f t="shared" si="16"/>
        <v>1</v>
      </c>
    </row>
    <row r="1085" spans="1:16" ht="15.75" customHeight="1" x14ac:dyDescent="0.35">
      <c r="A1085" s="13">
        <v>1084</v>
      </c>
      <c r="B1085" s="14">
        <v>46018</v>
      </c>
      <c r="C1085" s="15"/>
      <c r="D1085" s="18" t="s">
        <v>32</v>
      </c>
      <c r="E1085" s="17">
        <v>5000</v>
      </c>
      <c r="F1085" s="13">
        <v>180</v>
      </c>
      <c r="G1085" s="13">
        <v>648</v>
      </c>
      <c r="H1085" s="19">
        <v>150000</v>
      </c>
      <c r="I1085" s="19">
        <v>30000</v>
      </c>
      <c r="J1085" s="20" t="s">
        <v>33</v>
      </c>
      <c r="K1085" s="13">
        <v>65</v>
      </c>
      <c r="L1085" s="18" t="s">
        <v>38</v>
      </c>
      <c r="M1085" s="21" t="s">
        <v>54</v>
      </c>
      <c r="N1085" s="18" t="s">
        <v>43</v>
      </c>
      <c r="O1085" t="str">
        <f>IF(TRIM(J1085)="","NULL",IFERROR(VLOOKUP(TRIM(J1085),Lookup_PropertyType!$A:$B,2,FALSE()),"other"))</f>
        <v>apartment</v>
      </c>
      <c r="P1085">
        <f t="shared" si="16"/>
        <v>0</v>
      </c>
    </row>
    <row r="1086" spans="1:16" ht="15.75" customHeight="1" x14ac:dyDescent="0.35">
      <c r="A1086" s="13">
        <v>1085</v>
      </c>
      <c r="B1086" s="14">
        <v>46005</v>
      </c>
      <c r="C1086" s="15"/>
      <c r="D1086" s="18" t="s">
        <v>44</v>
      </c>
      <c r="E1086" s="17">
        <v>15000</v>
      </c>
      <c r="F1086" s="13">
        <v>180</v>
      </c>
      <c r="G1086" s="13">
        <v>392</v>
      </c>
      <c r="H1086" s="19">
        <v>340000</v>
      </c>
      <c r="I1086" s="19">
        <v>100000</v>
      </c>
      <c r="J1086" s="20" t="s">
        <v>33</v>
      </c>
      <c r="K1086" s="13">
        <v>32</v>
      </c>
      <c r="L1086" s="18" t="s">
        <v>38</v>
      </c>
      <c r="M1086" s="18" t="s">
        <v>39</v>
      </c>
      <c r="N1086" s="18" t="s">
        <v>36</v>
      </c>
      <c r="O1086" t="str">
        <f>IF(TRIM(J1086)="","NULL",IFERROR(VLOOKUP(TRIM(J1086),Lookup_PropertyType!$A:$B,2,FALSE()),"other"))</f>
        <v>apartment</v>
      </c>
      <c r="P1086">
        <f t="shared" si="16"/>
        <v>0</v>
      </c>
    </row>
    <row r="1087" spans="1:16" ht="15.75" customHeight="1" x14ac:dyDescent="0.35">
      <c r="A1087" s="13">
        <v>1086</v>
      </c>
      <c r="B1087" s="14">
        <v>45999</v>
      </c>
      <c r="C1087" s="15"/>
      <c r="D1087" s="18" t="s">
        <v>32</v>
      </c>
      <c r="E1087" s="17">
        <v>13500</v>
      </c>
      <c r="F1087" s="13">
        <v>180</v>
      </c>
      <c r="G1087" s="13">
        <v>896</v>
      </c>
      <c r="H1087" s="19">
        <v>500000</v>
      </c>
      <c r="I1087" s="19">
        <v>150000</v>
      </c>
      <c r="J1087" s="20" t="s">
        <v>33</v>
      </c>
      <c r="K1087" s="13">
        <v>37</v>
      </c>
      <c r="L1087" s="18" t="s">
        <v>45</v>
      </c>
      <c r="M1087" s="18" t="s">
        <v>39</v>
      </c>
      <c r="N1087" s="18" t="s">
        <v>42</v>
      </c>
      <c r="O1087" t="str">
        <f>IF(TRIM(J1087)="","NULL",IFERROR(VLOOKUP(TRIM(J1087),Lookup_PropertyType!$A:$B,2,FALSE()),"other"))</f>
        <v>apartment</v>
      </c>
      <c r="P1087">
        <f t="shared" si="16"/>
        <v>0</v>
      </c>
    </row>
    <row r="1088" spans="1:16" ht="15.75" customHeight="1" x14ac:dyDescent="0.35">
      <c r="A1088" s="13">
        <v>1087</v>
      </c>
      <c r="B1088" s="14">
        <v>45997</v>
      </c>
      <c r="C1088" s="14">
        <v>46045</v>
      </c>
      <c r="D1088" s="18" t="s">
        <v>32</v>
      </c>
      <c r="E1088" s="17">
        <v>8000</v>
      </c>
      <c r="F1088" s="13">
        <v>180</v>
      </c>
      <c r="G1088" s="13">
        <v>813</v>
      </c>
      <c r="H1088" s="19">
        <v>380000</v>
      </c>
      <c r="I1088" s="19">
        <v>70000</v>
      </c>
      <c r="J1088" s="20" t="s">
        <v>33</v>
      </c>
      <c r="K1088" s="13">
        <v>42</v>
      </c>
      <c r="L1088" s="18" t="s">
        <v>41</v>
      </c>
      <c r="M1088" s="21" t="s">
        <v>39</v>
      </c>
      <c r="N1088" s="18" t="s">
        <v>36</v>
      </c>
      <c r="O1088" t="str">
        <f>IF(TRIM(J1088)="","NULL",IFERROR(VLOOKUP(TRIM(J1088),Lookup_PropertyType!$A:$B,2,FALSE()),"other"))</f>
        <v>apartment</v>
      </c>
      <c r="P1088">
        <f t="shared" si="16"/>
        <v>1</v>
      </c>
    </row>
    <row r="1089" spans="1:16" ht="15.75" customHeight="1" x14ac:dyDescent="0.35">
      <c r="A1089" s="13">
        <v>1088</v>
      </c>
      <c r="B1089" s="14">
        <v>46010</v>
      </c>
      <c r="C1089" s="15"/>
      <c r="D1089" s="18" t="s">
        <v>32</v>
      </c>
      <c r="E1089" s="17">
        <v>15000</v>
      </c>
      <c r="F1089" s="13">
        <v>180</v>
      </c>
      <c r="G1089" s="13">
        <v>466</v>
      </c>
      <c r="H1089" s="19">
        <v>950000</v>
      </c>
      <c r="I1089" s="19">
        <v>200000</v>
      </c>
      <c r="J1089" s="20" t="s">
        <v>33</v>
      </c>
      <c r="K1089" s="13">
        <v>52</v>
      </c>
      <c r="L1089" s="18" t="s">
        <v>38</v>
      </c>
      <c r="M1089" s="21" t="s">
        <v>39</v>
      </c>
      <c r="N1089" s="18" t="s">
        <v>36</v>
      </c>
      <c r="O1089" t="str">
        <f>IF(TRIM(J1089)="","NULL",IFERROR(VLOOKUP(TRIM(J1089),Lookup_PropertyType!$A:$B,2,FALSE()),"other"))</f>
        <v>apartment</v>
      </c>
      <c r="P1089">
        <f t="shared" si="16"/>
        <v>0</v>
      </c>
    </row>
    <row r="1090" spans="1:16" ht="15.75" customHeight="1" x14ac:dyDescent="0.35">
      <c r="A1090" s="13">
        <v>1089</v>
      </c>
      <c r="B1090" s="14">
        <v>45991</v>
      </c>
      <c r="C1090" s="15"/>
      <c r="D1090" s="18" t="s">
        <v>65</v>
      </c>
      <c r="E1090" s="17">
        <v>3200</v>
      </c>
      <c r="F1090" s="13">
        <v>180</v>
      </c>
      <c r="G1090" s="13">
        <v>384</v>
      </c>
      <c r="H1090" s="19">
        <v>500000</v>
      </c>
      <c r="I1090" s="19">
        <v>30000</v>
      </c>
      <c r="J1090" s="20" t="s">
        <v>33</v>
      </c>
      <c r="K1090" s="13">
        <v>63</v>
      </c>
      <c r="L1090" s="18" t="s">
        <v>45</v>
      </c>
      <c r="M1090" s="21" t="s">
        <v>54</v>
      </c>
      <c r="N1090" s="18" t="s">
        <v>43</v>
      </c>
      <c r="O1090" t="str">
        <f>IF(TRIM(J1090)="","NULL",IFERROR(VLOOKUP(TRIM(J1090),Lookup_PropertyType!$A:$B,2,FALSE()),"other"))</f>
        <v>apartment</v>
      </c>
      <c r="P1090">
        <f t="shared" ref="P1090:P1153" si="17">IF(AND(C1090&lt;&gt;"",C1090&gt;=B1090),1,0)</f>
        <v>0</v>
      </c>
    </row>
    <row r="1091" spans="1:16" ht="15.75" customHeight="1" x14ac:dyDescent="0.35">
      <c r="A1091" s="13">
        <v>1090</v>
      </c>
      <c r="B1091" s="14">
        <v>45991</v>
      </c>
      <c r="C1091" s="14">
        <v>46019</v>
      </c>
      <c r="D1091" s="18" t="s">
        <v>32</v>
      </c>
      <c r="E1091" s="17">
        <v>12000</v>
      </c>
      <c r="F1091" s="13">
        <v>180</v>
      </c>
      <c r="G1091" s="13">
        <v>383</v>
      </c>
      <c r="H1091" s="19">
        <v>235000</v>
      </c>
      <c r="I1091" s="19">
        <v>30000</v>
      </c>
      <c r="J1091" s="20" t="s">
        <v>33</v>
      </c>
      <c r="K1091" s="13">
        <v>39</v>
      </c>
      <c r="L1091" s="18" t="s">
        <v>38</v>
      </c>
      <c r="M1091" s="21" t="s">
        <v>39</v>
      </c>
      <c r="N1091" s="18" t="s">
        <v>42</v>
      </c>
      <c r="O1091" t="str">
        <f>IF(TRIM(J1091)="","NULL",IFERROR(VLOOKUP(TRIM(J1091),Lookup_PropertyType!$A:$B,2,FALSE()),"other"))</f>
        <v>apartment</v>
      </c>
      <c r="P1091">
        <f t="shared" si="17"/>
        <v>1</v>
      </c>
    </row>
    <row r="1092" spans="1:16" ht="15.75" customHeight="1" x14ac:dyDescent="0.35">
      <c r="A1092" s="13">
        <v>1091</v>
      </c>
      <c r="B1092" s="14">
        <v>46004</v>
      </c>
      <c r="C1092" s="15"/>
      <c r="D1092" s="18" t="s">
        <v>49</v>
      </c>
      <c r="E1092" s="17">
        <v>17000</v>
      </c>
      <c r="F1092" s="13">
        <v>180</v>
      </c>
      <c r="G1092" s="13">
        <v>243</v>
      </c>
      <c r="H1092" s="19">
        <v>800000</v>
      </c>
      <c r="I1092" s="19">
        <v>120000</v>
      </c>
      <c r="J1092" s="20" t="s">
        <v>37</v>
      </c>
      <c r="K1092" s="13">
        <v>59</v>
      </c>
      <c r="L1092" s="18" t="s">
        <v>38</v>
      </c>
      <c r="M1092" s="21" t="s">
        <v>39</v>
      </c>
      <c r="N1092" s="18" t="s">
        <v>42</v>
      </c>
      <c r="O1092" t="str">
        <f>IF(TRIM(J1092)="","NULL",IFERROR(VLOOKUP(TRIM(J1092),Lookup_PropertyType!$A:$B,2,FALSE()),"other"))</f>
        <v>house</v>
      </c>
      <c r="P1092">
        <f t="shared" si="17"/>
        <v>0</v>
      </c>
    </row>
    <row r="1093" spans="1:16" ht="15.75" customHeight="1" x14ac:dyDescent="0.35">
      <c r="A1093" s="13">
        <v>1092</v>
      </c>
      <c r="B1093" s="14">
        <v>45998</v>
      </c>
      <c r="C1093" s="15"/>
      <c r="D1093" s="18" t="s">
        <v>32</v>
      </c>
      <c r="E1093" s="17">
        <v>6000</v>
      </c>
      <c r="F1093" s="13">
        <v>120</v>
      </c>
      <c r="G1093" s="13">
        <v>273</v>
      </c>
      <c r="H1093" s="19">
        <v>300000</v>
      </c>
      <c r="I1093" s="19">
        <v>100000</v>
      </c>
      <c r="J1093" s="20" t="s">
        <v>33</v>
      </c>
      <c r="K1093" s="13">
        <v>40</v>
      </c>
      <c r="L1093" s="18" t="s">
        <v>41</v>
      </c>
      <c r="M1093" s="18" t="s">
        <v>39</v>
      </c>
      <c r="N1093" s="18" t="s">
        <v>36</v>
      </c>
      <c r="O1093" t="str">
        <f>IF(TRIM(J1093)="","NULL",IFERROR(VLOOKUP(TRIM(J1093),Lookup_PropertyType!$A:$B,2,FALSE()),"other"))</f>
        <v>apartment</v>
      </c>
      <c r="P1093">
        <f t="shared" si="17"/>
        <v>0</v>
      </c>
    </row>
    <row r="1094" spans="1:16" ht="15.75" customHeight="1" x14ac:dyDescent="0.35">
      <c r="A1094" s="13">
        <v>1093</v>
      </c>
      <c r="B1094" s="14">
        <v>45996</v>
      </c>
      <c r="C1094" s="14">
        <v>46051</v>
      </c>
      <c r="D1094" s="18" t="s">
        <v>32</v>
      </c>
      <c r="E1094" s="17">
        <v>8000</v>
      </c>
      <c r="F1094" s="13">
        <v>180</v>
      </c>
      <c r="G1094" s="13">
        <v>784</v>
      </c>
      <c r="H1094" s="19">
        <v>550000</v>
      </c>
      <c r="I1094" s="19">
        <v>30000</v>
      </c>
      <c r="J1094" s="20" t="s">
        <v>33</v>
      </c>
      <c r="K1094" s="13">
        <v>41</v>
      </c>
      <c r="L1094" s="18" t="s">
        <v>45</v>
      </c>
      <c r="M1094" s="21" t="s">
        <v>39</v>
      </c>
      <c r="N1094" s="18" t="s">
        <v>36</v>
      </c>
      <c r="O1094" t="str">
        <f>IF(TRIM(J1094)="","NULL",IFERROR(VLOOKUP(TRIM(J1094),Lookup_PropertyType!$A:$B,2,FALSE()),"other"))</f>
        <v>apartment</v>
      </c>
      <c r="P1094">
        <f t="shared" si="17"/>
        <v>1</v>
      </c>
    </row>
    <row r="1095" spans="1:16" ht="15.75" customHeight="1" x14ac:dyDescent="0.35">
      <c r="A1095" s="13">
        <v>1094</v>
      </c>
      <c r="B1095" s="14">
        <v>46004</v>
      </c>
      <c r="C1095" s="15"/>
      <c r="D1095" s="18" t="s">
        <v>44</v>
      </c>
      <c r="E1095" s="17">
        <v>9900</v>
      </c>
      <c r="F1095" s="13">
        <v>180</v>
      </c>
      <c r="G1095" s="13">
        <v>898</v>
      </c>
      <c r="H1095" s="19">
        <v>400000</v>
      </c>
      <c r="I1095" s="19">
        <v>200000</v>
      </c>
      <c r="J1095" s="20" t="s">
        <v>37</v>
      </c>
      <c r="K1095" s="13">
        <v>44</v>
      </c>
      <c r="L1095" s="18" t="s">
        <v>64</v>
      </c>
      <c r="M1095" s="21" t="s">
        <v>39</v>
      </c>
      <c r="N1095" s="18" t="s">
        <v>36</v>
      </c>
      <c r="O1095" t="str">
        <f>IF(TRIM(J1095)="","NULL",IFERROR(VLOOKUP(TRIM(J1095),Lookup_PropertyType!$A:$B,2,FALSE()),"other"))</f>
        <v>house</v>
      </c>
      <c r="P1095">
        <f t="shared" si="17"/>
        <v>0</v>
      </c>
    </row>
    <row r="1096" spans="1:16" ht="15.75" customHeight="1" x14ac:dyDescent="0.35">
      <c r="A1096" s="13">
        <v>1095</v>
      </c>
      <c r="B1096" s="14">
        <v>46027</v>
      </c>
      <c r="C1096" s="15"/>
      <c r="D1096" s="18" t="s">
        <v>32</v>
      </c>
      <c r="E1096" s="17">
        <v>25000</v>
      </c>
      <c r="F1096" s="13">
        <v>180</v>
      </c>
      <c r="G1096" s="13">
        <v>957</v>
      </c>
      <c r="H1096" s="19">
        <v>3150000</v>
      </c>
      <c r="I1096" s="19">
        <v>2000000</v>
      </c>
      <c r="J1096" s="20" t="s">
        <v>33</v>
      </c>
      <c r="K1096" s="13">
        <v>45</v>
      </c>
      <c r="L1096" s="18" t="s">
        <v>64</v>
      </c>
      <c r="M1096" s="21" t="s">
        <v>39</v>
      </c>
      <c r="N1096" s="18" t="s">
        <v>36</v>
      </c>
      <c r="O1096" t="str">
        <f>IF(TRIM(J1096)="","NULL",IFERROR(VLOOKUP(TRIM(J1096),Lookup_PropertyType!$A:$B,2,FALSE()),"other"))</f>
        <v>apartment</v>
      </c>
      <c r="P1096">
        <f t="shared" si="17"/>
        <v>0</v>
      </c>
    </row>
    <row r="1097" spans="1:16" ht="15.75" customHeight="1" x14ac:dyDescent="0.35">
      <c r="A1097" s="13">
        <v>1096</v>
      </c>
      <c r="B1097" s="14">
        <v>46004</v>
      </c>
      <c r="C1097" s="14">
        <v>46075</v>
      </c>
      <c r="D1097" s="18" t="s">
        <v>32</v>
      </c>
      <c r="E1097" s="17">
        <v>60000</v>
      </c>
      <c r="F1097" s="13">
        <v>180</v>
      </c>
      <c r="G1097" s="13">
        <v>926</v>
      </c>
      <c r="H1097" s="19">
        <v>3300000</v>
      </c>
      <c r="I1097" s="19">
        <v>1650000</v>
      </c>
      <c r="J1097" s="20" t="s">
        <v>37</v>
      </c>
      <c r="K1097" s="13">
        <v>67</v>
      </c>
      <c r="L1097" s="18" t="s">
        <v>64</v>
      </c>
      <c r="M1097" s="18" t="s">
        <v>35</v>
      </c>
      <c r="N1097" s="18" t="s">
        <v>36</v>
      </c>
      <c r="O1097" t="str">
        <f>IF(TRIM(J1097)="","NULL",IFERROR(VLOOKUP(TRIM(J1097),Lookup_PropertyType!$A:$B,2,FALSE()),"other"))</f>
        <v>house</v>
      </c>
      <c r="P1097">
        <f t="shared" si="17"/>
        <v>1</v>
      </c>
    </row>
    <row r="1098" spans="1:16" ht="15.75" customHeight="1" x14ac:dyDescent="0.35">
      <c r="A1098" s="13">
        <v>1097</v>
      </c>
      <c r="B1098" s="14">
        <v>46024</v>
      </c>
      <c r="C1098" s="15"/>
      <c r="D1098" s="18" t="s">
        <v>32</v>
      </c>
      <c r="E1098" s="17">
        <v>20000</v>
      </c>
      <c r="F1098" s="13">
        <v>120</v>
      </c>
      <c r="G1098" s="13">
        <v>913</v>
      </c>
      <c r="H1098" s="19">
        <v>300000</v>
      </c>
      <c r="I1098" s="19">
        <v>120000</v>
      </c>
      <c r="J1098" s="20" t="s">
        <v>33</v>
      </c>
      <c r="K1098" s="13">
        <v>36</v>
      </c>
      <c r="L1098" s="18" t="s">
        <v>38</v>
      </c>
      <c r="M1098" s="18" t="s">
        <v>39</v>
      </c>
      <c r="N1098" s="18" t="s">
        <v>42</v>
      </c>
      <c r="O1098" t="str">
        <f>IF(TRIM(J1098)="","NULL",IFERROR(VLOOKUP(TRIM(J1098),Lookup_PropertyType!$A:$B,2,FALSE()),"other"))</f>
        <v>apartment</v>
      </c>
      <c r="P1098">
        <f t="shared" si="17"/>
        <v>0</v>
      </c>
    </row>
    <row r="1099" spans="1:16" ht="15.75" customHeight="1" x14ac:dyDescent="0.35">
      <c r="A1099" s="13">
        <v>1098</v>
      </c>
      <c r="B1099" s="14">
        <v>46004</v>
      </c>
      <c r="C1099" s="14">
        <v>46060</v>
      </c>
      <c r="D1099" s="18" t="s">
        <v>32</v>
      </c>
      <c r="E1099" s="17">
        <v>13500</v>
      </c>
      <c r="F1099" s="13">
        <v>90</v>
      </c>
      <c r="G1099" s="13">
        <v>997</v>
      </c>
      <c r="H1099" s="19">
        <v>400000</v>
      </c>
      <c r="I1099" s="19">
        <v>95000</v>
      </c>
      <c r="J1099" s="20" t="s">
        <v>33</v>
      </c>
      <c r="K1099" s="13">
        <v>41</v>
      </c>
      <c r="L1099" s="18" t="s">
        <v>34</v>
      </c>
      <c r="M1099" s="21" t="s">
        <v>35</v>
      </c>
      <c r="N1099" s="18" t="s">
        <v>42</v>
      </c>
      <c r="O1099" t="str">
        <f>IF(TRIM(J1099)="","NULL",IFERROR(VLOOKUP(TRIM(J1099),Lookup_PropertyType!$A:$B,2,FALSE()),"other"))</f>
        <v>apartment</v>
      </c>
      <c r="P1099">
        <f t="shared" si="17"/>
        <v>1</v>
      </c>
    </row>
    <row r="1100" spans="1:16" ht="15.75" customHeight="1" x14ac:dyDescent="0.35">
      <c r="A1100" s="13">
        <v>1099</v>
      </c>
      <c r="B1100" s="14">
        <v>46002</v>
      </c>
      <c r="C1100" s="15"/>
      <c r="D1100" s="18" t="s">
        <v>68</v>
      </c>
      <c r="E1100" s="17">
        <v>10000</v>
      </c>
      <c r="F1100" s="13">
        <v>120</v>
      </c>
      <c r="G1100" s="13">
        <v>421</v>
      </c>
      <c r="H1100" s="19">
        <v>220000</v>
      </c>
      <c r="I1100" s="19">
        <v>120000</v>
      </c>
      <c r="J1100" s="20" t="s">
        <v>33</v>
      </c>
      <c r="K1100" s="13">
        <v>33</v>
      </c>
      <c r="L1100" s="18" t="s">
        <v>38</v>
      </c>
      <c r="M1100" s="21" t="s">
        <v>39</v>
      </c>
      <c r="N1100" s="16" t="s">
        <v>50</v>
      </c>
      <c r="O1100" t="str">
        <f>IF(TRIM(J1100)="","NULL",IFERROR(VLOOKUP(TRIM(J1100),Lookup_PropertyType!$A:$B,2,FALSE()),"other"))</f>
        <v>apartment</v>
      </c>
      <c r="P1100">
        <f t="shared" si="17"/>
        <v>0</v>
      </c>
    </row>
    <row r="1101" spans="1:16" ht="15.75" customHeight="1" x14ac:dyDescent="0.35">
      <c r="A1101" s="13">
        <v>1100</v>
      </c>
      <c r="B1101" s="14">
        <v>46006</v>
      </c>
      <c r="C1101" s="15"/>
      <c r="D1101" s="18" t="s">
        <v>32</v>
      </c>
      <c r="E1101" s="17">
        <v>40000</v>
      </c>
      <c r="F1101" s="13">
        <v>180</v>
      </c>
      <c r="G1101" s="13">
        <v>491</v>
      </c>
      <c r="H1101" s="19">
        <v>2500000</v>
      </c>
      <c r="I1101" s="19">
        <v>500000</v>
      </c>
      <c r="J1101" s="20" t="s">
        <v>33</v>
      </c>
      <c r="K1101" s="13">
        <v>67</v>
      </c>
      <c r="L1101" s="18" t="s">
        <v>34</v>
      </c>
      <c r="M1101" s="21" t="s">
        <v>54</v>
      </c>
      <c r="N1101" s="18" t="s">
        <v>36</v>
      </c>
      <c r="O1101" t="str">
        <f>IF(TRIM(J1101)="","NULL",IFERROR(VLOOKUP(TRIM(J1101),Lookup_PropertyType!$A:$B,2,FALSE()),"other"))</f>
        <v>apartment</v>
      </c>
      <c r="P1101">
        <f t="shared" si="17"/>
        <v>0</v>
      </c>
    </row>
    <row r="1102" spans="1:16" ht="15.75" customHeight="1" x14ac:dyDescent="0.35">
      <c r="A1102" s="13">
        <v>1101</v>
      </c>
      <c r="B1102" s="14">
        <v>45999</v>
      </c>
      <c r="C1102" s="15"/>
      <c r="D1102" s="18" t="s">
        <v>57</v>
      </c>
      <c r="E1102" s="17">
        <v>11000</v>
      </c>
      <c r="F1102" s="13">
        <v>180</v>
      </c>
      <c r="G1102" s="13">
        <v>256</v>
      </c>
      <c r="H1102" s="19">
        <v>1200000</v>
      </c>
      <c r="I1102" s="19">
        <v>30000</v>
      </c>
      <c r="J1102" s="20" t="s">
        <v>33</v>
      </c>
      <c r="K1102" s="13">
        <v>69</v>
      </c>
      <c r="L1102" s="18" t="s">
        <v>45</v>
      </c>
      <c r="M1102" s="21" t="s">
        <v>39</v>
      </c>
      <c r="N1102" s="18" t="s">
        <v>43</v>
      </c>
      <c r="O1102" t="str">
        <f>IF(TRIM(J1102)="","NULL",IFERROR(VLOOKUP(TRIM(J1102),Lookup_PropertyType!$A:$B,2,FALSE()),"other"))</f>
        <v>apartment</v>
      </c>
      <c r="P1102">
        <f t="shared" si="17"/>
        <v>0</v>
      </c>
    </row>
    <row r="1103" spans="1:16" ht="15.75" customHeight="1" x14ac:dyDescent="0.35">
      <c r="A1103" s="13">
        <v>1102</v>
      </c>
      <c r="B1103" s="14">
        <v>46089</v>
      </c>
      <c r="C1103" s="15"/>
      <c r="D1103" s="18" t="s">
        <v>44</v>
      </c>
      <c r="E1103" s="17">
        <v>30000</v>
      </c>
      <c r="F1103" s="13">
        <v>120</v>
      </c>
      <c r="G1103" s="13">
        <v>470</v>
      </c>
      <c r="H1103" s="19">
        <v>700000</v>
      </c>
      <c r="I1103" s="19">
        <v>350000</v>
      </c>
      <c r="J1103" s="20" t="s">
        <v>33</v>
      </c>
      <c r="K1103" s="13">
        <v>51</v>
      </c>
      <c r="L1103" s="18" t="s">
        <v>34</v>
      </c>
      <c r="M1103" s="21" t="s">
        <v>39</v>
      </c>
      <c r="N1103" s="18" t="s">
        <v>36</v>
      </c>
      <c r="O1103" t="str">
        <f>IF(TRIM(J1103)="","NULL",IFERROR(VLOOKUP(TRIM(J1103),Lookup_PropertyType!$A:$B,2,FALSE()),"other"))</f>
        <v>apartment</v>
      </c>
      <c r="P1103">
        <f t="shared" si="17"/>
        <v>0</v>
      </c>
    </row>
    <row r="1104" spans="1:16" ht="15.75" customHeight="1" x14ac:dyDescent="0.35">
      <c r="A1104" s="13">
        <v>1103</v>
      </c>
      <c r="B1104" s="14">
        <v>45998</v>
      </c>
      <c r="C1104" s="15"/>
      <c r="D1104" s="18" t="s">
        <v>46</v>
      </c>
      <c r="E1104" s="17">
        <v>6000</v>
      </c>
      <c r="F1104" s="13">
        <v>180</v>
      </c>
      <c r="G1104" s="13">
        <v>565</v>
      </c>
      <c r="H1104" s="19">
        <v>310000</v>
      </c>
      <c r="I1104" s="19">
        <v>80000</v>
      </c>
      <c r="J1104" s="20" t="s">
        <v>37</v>
      </c>
      <c r="K1104" s="13">
        <v>38</v>
      </c>
      <c r="L1104" s="18" t="s">
        <v>38</v>
      </c>
      <c r="M1104" s="21" t="s">
        <v>39</v>
      </c>
      <c r="N1104" s="18" t="s">
        <v>42</v>
      </c>
      <c r="O1104" t="str">
        <f>IF(TRIM(J1104)="","NULL",IFERROR(VLOOKUP(TRIM(J1104),Lookup_PropertyType!$A:$B,2,FALSE()),"other"))</f>
        <v>house</v>
      </c>
      <c r="P1104">
        <f t="shared" si="17"/>
        <v>0</v>
      </c>
    </row>
    <row r="1105" spans="1:16" ht="15.75" customHeight="1" x14ac:dyDescent="0.35">
      <c r="A1105" s="13">
        <v>1104</v>
      </c>
      <c r="B1105" s="14">
        <v>46012</v>
      </c>
      <c r="C1105" s="15"/>
      <c r="D1105" s="18" t="s">
        <v>55</v>
      </c>
      <c r="E1105" s="17">
        <v>15000</v>
      </c>
      <c r="F1105" s="13">
        <v>180</v>
      </c>
      <c r="G1105" s="13">
        <v>705</v>
      </c>
      <c r="H1105" s="19">
        <v>600000</v>
      </c>
      <c r="I1105" s="19">
        <v>665047</v>
      </c>
      <c r="J1105" s="20" t="s">
        <v>53</v>
      </c>
      <c r="K1105" s="13">
        <v>47</v>
      </c>
      <c r="L1105" s="18" t="s">
        <v>59</v>
      </c>
      <c r="M1105" s="21" t="s">
        <v>39</v>
      </c>
      <c r="N1105" s="18" t="s">
        <v>42</v>
      </c>
      <c r="O1105" t="str">
        <f>IF(TRIM(J1105)="","NULL",IFERROR(VLOOKUP(TRIM(J1105),Lookup_PropertyType!$A:$B,2,FALSE()),"other"))</f>
        <v>other</v>
      </c>
      <c r="P1105">
        <f t="shared" si="17"/>
        <v>0</v>
      </c>
    </row>
    <row r="1106" spans="1:16" ht="15.75" customHeight="1" x14ac:dyDescent="0.35">
      <c r="A1106" s="13">
        <v>1105</v>
      </c>
      <c r="B1106" s="14">
        <v>46006</v>
      </c>
      <c r="C1106" s="15"/>
      <c r="D1106" s="18" t="s">
        <v>46</v>
      </c>
      <c r="E1106" s="17">
        <v>20000</v>
      </c>
      <c r="F1106" s="13">
        <v>180</v>
      </c>
      <c r="G1106" s="13">
        <v>526</v>
      </c>
      <c r="H1106" s="19">
        <v>850000</v>
      </c>
      <c r="I1106" s="19">
        <v>350000</v>
      </c>
      <c r="J1106" s="20" t="s">
        <v>60</v>
      </c>
      <c r="K1106" s="13">
        <v>43</v>
      </c>
      <c r="L1106" s="18" t="s">
        <v>38</v>
      </c>
      <c r="M1106" s="21" t="s">
        <v>39</v>
      </c>
      <c r="N1106" s="16" t="s">
        <v>50</v>
      </c>
      <c r="O1106" t="str">
        <f>IF(TRIM(J1106)="","NULL",IFERROR(VLOOKUP(TRIM(J1106),Lookup_PropertyType!$A:$B,2,FALSE()),"other"))</f>
        <v>other</v>
      </c>
      <c r="P1106">
        <f t="shared" si="17"/>
        <v>0</v>
      </c>
    </row>
    <row r="1107" spans="1:16" ht="15.75" customHeight="1" x14ac:dyDescent="0.35">
      <c r="A1107" s="13">
        <v>1106</v>
      </c>
      <c r="B1107" s="14">
        <v>46006</v>
      </c>
      <c r="C1107" s="15"/>
      <c r="D1107" s="18" t="s">
        <v>69</v>
      </c>
      <c r="E1107" s="17">
        <v>17800</v>
      </c>
      <c r="F1107" s="13">
        <v>180</v>
      </c>
      <c r="G1107" s="13">
        <v>631</v>
      </c>
      <c r="H1107" s="19">
        <v>300000</v>
      </c>
      <c r="I1107" s="19">
        <v>50000</v>
      </c>
      <c r="J1107" s="20" t="s">
        <v>37</v>
      </c>
      <c r="K1107" s="13">
        <v>34</v>
      </c>
      <c r="L1107" s="18" t="s">
        <v>41</v>
      </c>
      <c r="M1107" s="21" t="s">
        <v>39</v>
      </c>
      <c r="N1107" s="16" t="s">
        <v>50</v>
      </c>
      <c r="O1107" t="str">
        <f>IF(TRIM(J1107)="","NULL",IFERROR(VLOOKUP(TRIM(J1107),Lookup_PropertyType!$A:$B,2,FALSE()),"other"))</f>
        <v>house</v>
      </c>
      <c r="P1107">
        <f t="shared" si="17"/>
        <v>0</v>
      </c>
    </row>
    <row r="1108" spans="1:16" ht="15.75" customHeight="1" x14ac:dyDescent="0.35">
      <c r="A1108" s="13">
        <v>1107</v>
      </c>
      <c r="B1108" s="14">
        <v>45998</v>
      </c>
      <c r="C1108" s="15"/>
      <c r="D1108" s="18" t="s">
        <v>46</v>
      </c>
      <c r="E1108" s="17">
        <v>17000</v>
      </c>
      <c r="F1108" s="13">
        <v>180</v>
      </c>
      <c r="G1108" s="13">
        <v>972</v>
      </c>
      <c r="H1108" s="19">
        <v>580000</v>
      </c>
      <c r="I1108" s="19">
        <v>150000</v>
      </c>
      <c r="J1108" s="20" t="s">
        <v>60</v>
      </c>
      <c r="K1108" s="13">
        <v>36</v>
      </c>
      <c r="L1108" s="18" t="s">
        <v>64</v>
      </c>
      <c r="M1108" s="21" t="s">
        <v>35</v>
      </c>
      <c r="N1108" s="18" t="s">
        <v>42</v>
      </c>
      <c r="O1108" t="str">
        <f>IF(TRIM(J1108)="","NULL",IFERROR(VLOOKUP(TRIM(J1108),Lookup_PropertyType!$A:$B,2,FALSE()),"other"))</f>
        <v>other</v>
      </c>
      <c r="P1108">
        <f t="shared" si="17"/>
        <v>0</v>
      </c>
    </row>
    <row r="1109" spans="1:16" ht="15.75" customHeight="1" x14ac:dyDescent="0.35">
      <c r="A1109" s="13">
        <v>1108</v>
      </c>
      <c r="B1109" s="14">
        <v>46004</v>
      </c>
      <c r="C1109" s="15"/>
      <c r="D1109" s="18" t="s">
        <v>85</v>
      </c>
      <c r="E1109" s="17">
        <v>6400</v>
      </c>
      <c r="F1109" s="13">
        <v>120</v>
      </c>
      <c r="G1109" s="13">
        <v>316</v>
      </c>
      <c r="H1109" s="19">
        <v>300000</v>
      </c>
      <c r="I1109" s="19">
        <v>100000</v>
      </c>
      <c r="J1109" s="20" t="s">
        <v>33</v>
      </c>
      <c r="K1109" s="13">
        <v>61</v>
      </c>
      <c r="L1109" s="18" t="s">
        <v>41</v>
      </c>
      <c r="M1109" s="21" t="s">
        <v>39</v>
      </c>
      <c r="N1109" s="18" t="s">
        <v>51</v>
      </c>
      <c r="O1109" t="str">
        <f>IF(TRIM(J1109)="","NULL",IFERROR(VLOOKUP(TRIM(J1109),Lookup_PropertyType!$A:$B,2,FALSE()),"other"))</f>
        <v>apartment</v>
      </c>
      <c r="P1109">
        <f t="shared" si="17"/>
        <v>0</v>
      </c>
    </row>
    <row r="1110" spans="1:16" ht="15.75" customHeight="1" x14ac:dyDescent="0.35">
      <c r="A1110" s="13">
        <v>1109</v>
      </c>
      <c r="B1110" s="14">
        <v>45997</v>
      </c>
      <c r="C1110" s="14">
        <v>46073</v>
      </c>
      <c r="D1110" s="18" t="s">
        <v>32</v>
      </c>
      <c r="E1110" s="17">
        <v>30000</v>
      </c>
      <c r="F1110" s="13">
        <v>150</v>
      </c>
      <c r="G1110" s="13">
        <v>565</v>
      </c>
      <c r="H1110" s="19">
        <v>1000000</v>
      </c>
      <c r="I1110" s="19">
        <v>560000</v>
      </c>
      <c r="J1110" s="20" t="s">
        <v>37</v>
      </c>
      <c r="K1110" s="13">
        <v>46</v>
      </c>
      <c r="L1110" s="18" t="s">
        <v>38</v>
      </c>
      <c r="M1110" s="18" t="s">
        <v>35</v>
      </c>
      <c r="N1110" s="18" t="s">
        <v>42</v>
      </c>
      <c r="O1110" t="str">
        <f>IF(TRIM(J1110)="","NULL",IFERROR(VLOOKUP(TRIM(J1110),Lookup_PropertyType!$A:$B,2,FALSE()),"other"))</f>
        <v>house</v>
      </c>
      <c r="P1110">
        <f t="shared" si="17"/>
        <v>1</v>
      </c>
    </row>
    <row r="1111" spans="1:16" ht="15.75" customHeight="1" x14ac:dyDescent="0.35">
      <c r="A1111" s="13">
        <v>1110</v>
      </c>
      <c r="B1111" s="14">
        <v>46005</v>
      </c>
      <c r="C1111" s="14">
        <v>45972</v>
      </c>
      <c r="D1111" s="18" t="s">
        <v>32</v>
      </c>
      <c r="E1111" s="17">
        <v>6122</v>
      </c>
      <c r="F1111" s="13">
        <v>180</v>
      </c>
      <c r="G1111" s="13">
        <v>776</v>
      </c>
      <c r="H1111" s="19">
        <v>420000</v>
      </c>
      <c r="I1111" s="19">
        <v>100000</v>
      </c>
      <c r="J1111" s="20" t="s">
        <v>33</v>
      </c>
      <c r="K1111" s="13">
        <v>41</v>
      </c>
      <c r="L1111" s="18" t="s">
        <v>38</v>
      </c>
      <c r="M1111" s="21" t="s">
        <v>39</v>
      </c>
      <c r="N1111" s="18" t="s">
        <v>42</v>
      </c>
      <c r="O1111" t="str">
        <f>IF(TRIM(J1111)="","NULL",IFERROR(VLOOKUP(TRIM(J1111),Lookup_PropertyType!$A:$B,2,FALSE()),"other"))</f>
        <v>apartment</v>
      </c>
      <c r="P1111">
        <f t="shared" si="17"/>
        <v>0</v>
      </c>
    </row>
    <row r="1112" spans="1:16" ht="15.75" customHeight="1" x14ac:dyDescent="0.35">
      <c r="A1112" s="13">
        <v>1111</v>
      </c>
      <c r="B1112" s="14">
        <v>46011</v>
      </c>
      <c r="C1112" s="14">
        <v>46089</v>
      </c>
      <c r="D1112" s="18" t="s">
        <v>32</v>
      </c>
      <c r="E1112" s="17">
        <v>18500</v>
      </c>
      <c r="F1112" s="13">
        <v>90</v>
      </c>
      <c r="G1112" s="13">
        <v>246</v>
      </c>
      <c r="H1112" s="19">
        <v>450000</v>
      </c>
      <c r="I1112" s="19">
        <v>155000</v>
      </c>
      <c r="J1112" s="20" t="s">
        <v>37</v>
      </c>
      <c r="K1112" s="13">
        <v>63</v>
      </c>
      <c r="L1112" s="18" t="s">
        <v>38</v>
      </c>
      <c r="M1112" s="18" t="s">
        <v>35</v>
      </c>
      <c r="N1112" s="18" t="s">
        <v>43</v>
      </c>
      <c r="O1112" t="str">
        <f>IF(TRIM(J1112)="","NULL",IFERROR(VLOOKUP(TRIM(J1112),Lookup_PropertyType!$A:$B,2,FALSE()),"other"))</f>
        <v>house</v>
      </c>
      <c r="P1112">
        <f t="shared" si="17"/>
        <v>1</v>
      </c>
    </row>
    <row r="1113" spans="1:16" ht="15.75" customHeight="1" x14ac:dyDescent="0.35">
      <c r="A1113" s="13">
        <v>1112</v>
      </c>
      <c r="B1113" s="14">
        <v>46002</v>
      </c>
      <c r="C1113" s="15"/>
      <c r="D1113" s="18" t="s">
        <v>65</v>
      </c>
      <c r="E1113" s="17">
        <v>12000</v>
      </c>
      <c r="F1113" s="13">
        <v>120</v>
      </c>
      <c r="G1113" s="13">
        <v>442</v>
      </c>
      <c r="H1113" s="19">
        <v>850000</v>
      </c>
      <c r="I1113" s="19">
        <v>150000</v>
      </c>
      <c r="J1113" s="20" t="s">
        <v>33</v>
      </c>
      <c r="K1113" s="13">
        <v>47</v>
      </c>
      <c r="L1113" s="18" t="s">
        <v>59</v>
      </c>
      <c r="M1113" s="21" t="s">
        <v>39</v>
      </c>
      <c r="N1113" s="16" t="s">
        <v>50</v>
      </c>
      <c r="O1113" t="str">
        <f>IF(TRIM(J1113)="","NULL",IFERROR(VLOOKUP(TRIM(J1113),Lookup_PropertyType!$A:$B,2,FALSE()),"other"))</f>
        <v>apartment</v>
      </c>
      <c r="P1113">
        <f t="shared" si="17"/>
        <v>0</v>
      </c>
    </row>
    <row r="1114" spans="1:16" ht="15.75" customHeight="1" x14ac:dyDescent="0.35">
      <c r="A1114" s="13">
        <v>1113</v>
      </c>
      <c r="B1114" s="14">
        <v>46017</v>
      </c>
      <c r="C1114" s="14">
        <v>46107</v>
      </c>
      <c r="D1114" s="18" t="s">
        <v>32</v>
      </c>
      <c r="E1114" s="17">
        <v>18000</v>
      </c>
      <c r="F1114" s="13">
        <v>180</v>
      </c>
      <c r="G1114" s="13">
        <v>427</v>
      </c>
      <c r="H1114" s="19">
        <v>450000</v>
      </c>
      <c r="I1114" s="19">
        <v>160000</v>
      </c>
      <c r="J1114" s="20" t="s">
        <v>33</v>
      </c>
      <c r="K1114" s="13">
        <v>37</v>
      </c>
      <c r="L1114" s="18" t="s">
        <v>38</v>
      </c>
      <c r="M1114" s="21" t="s">
        <v>39</v>
      </c>
      <c r="N1114" s="18" t="s">
        <v>36</v>
      </c>
      <c r="O1114" t="str">
        <f>IF(TRIM(J1114)="","NULL",IFERROR(VLOOKUP(TRIM(J1114),Lookup_PropertyType!$A:$B,2,FALSE()),"other"))</f>
        <v>apartment</v>
      </c>
      <c r="P1114">
        <f t="shared" si="17"/>
        <v>1</v>
      </c>
    </row>
    <row r="1115" spans="1:16" ht="15.75" customHeight="1" x14ac:dyDescent="0.35">
      <c r="A1115" s="13">
        <v>1114</v>
      </c>
      <c r="B1115" s="14">
        <v>46004</v>
      </c>
      <c r="C1115" s="14">
        <v>46054</v>
      </c>
      <c r="D1115" s="18" t="s">
        <v>32</v>
      </c>
      <c r="E1115" s="17">
        <v>15000</v>
      </c>
      <c r="F1115" s="13">
        <v>180</v>
      </c>
      <c r="G1115" s="13">
        <v>808</v>
      </c>
      <c r="H1115" s="19">
        <v>300000</v>
      </c>
      <c r="I1115" s="19">
        <v>60000</v>
      </c>
      <c r="J1115" s="20" t="s">
        <v>33</v>
      </c>
      <c r="K1115" s="13">
        <v>56</v>
      </c>
      <c r="L1115" s="18" t="s">
        <v>38</v>
      </c>
      <c r="M1115" s="21" t="s">
        <v>39</v>
      </c>
      <c r="N1115" s="18" t="s">
        <v>36</v>
      </c>
      <c r="O1115" t="str">
        <f>IF(TRIM(J1115)="","NULL",IFERROR(VLOOKUP(TRIM(J1115),Lookup_PropertyType!$A:$B,2,FALSE()),"other"))</f>
        <v>apartment</v>
      </c>
      <c r="P1115">
        <f t="shared" si="17"/>
        <v>1</v>
      </c>
    </row>
    <row r="1116" spans="1:16" ht="15.75" customHeight="1" x14ac:dyDescent="0.35">
      <c r="A1116" s="13">
        <v>1115</v>
      </c>
      <c r="B1116" s="14">
        <v>46002</v>
      </c>
      <c r="C1116" s="15"/>
      <c r="D1116" s="18" t="s">
        <v>61</v>
      </c>
      <c r="E1116" s="17">
        <v>20000</v>
      </c>
      <c r="F1116" s="13">
        <v>150</v>
      </c>
      <c r="G1116" s="13">
        <v>956</v>
      </c>
      <c r="H1116" s="19">
        <v>400000</v>
      </c>
      <c r="I1116" s="19">
        <v>200000</v>
      </c>
      <c r="J1116" s="20" t="s">
        <v>33</v>
      </c>
      <c r="K1116" s="13">
        <v>37</v>
      </c>
      <c r="L1116" s="18" t="s">
        <v>64</v>
      </c>
      <c r="M1116" s="18" t="s">
        <v>39</v>
      </c>
      <c r="N1116" s="18" t="s">
        <v>42</v>
      </c>
      <c r="O1116" t="str">
        <f>IF(TRIM(J1116)="","NULL",IFERROR(VLOOKUP(TRIM(J1116),Lookup_PropertyType!$A:$B,2,FALSE()),"other"))</f>
        <v>apartment</v>
      </c>
      <c r="P1116">
        <f t="shared" si="17"/>
        <v>0</v>
      </c>
    </row>
    <row r="1117" spans="1:16" ht="15.75" customHeight="1" x14ac:dyDescent="0.35">
      <c r="A1117" s="13">
        <v>1116</v>
      </c>
      <c r="B1117" s="14">
        <v>46017</v>
      </c>
      <c r="C1117" s="15"/>
      <c r="D1117" s="18" t="s">
        <v>32</v>
      </c>
      <c r="E1117" s="17">
        <v>5800</v>
      </c>
      <c r="F1117" s="13">
        <v>180</v>
      </c>
      <c r="G1117" s="13">
        <v>461</v>
      </c>
      <c r="H1117" s="19">
        <v>800000</v>
      </c>
      <c r="I1117" s="19">
        <v>50000</v>
      </c>
      <c r="J1117" s="20" t="s">
        <v>33</v>
      </c>
      <c r="K1117" s="13">
        <v>60</v>
      </c>
      <c r="L1117" s="18" t="s">
        <v>59</v>
      </c>
      <c r="M1117" s="21" t="s">
        <v>54</v>
      </c>
      <c r="N1117" s="18" t="s">
        <v>43</v>
      </c>
      <c r="O1117" t="str">
        <f>IF(TRIM(J1117)="","NULL",IFERROR(VLOOKUP(TRIM(J1117),Lookup_PropertyType!$A:$B,2,FALSE()),"other"))</f>
        <v>apartment</v>
      </c>
      <c r="P1117">
        <f t="shared" si="17"/>
        <v>0</v>
      </c>
    </row>
    <row r="1118" spans="1:16" ht="15.75" customHeight="1" x14ac:dyDescent="0.35">
      <c r="A1118" s="13">
        <v>1117</v>
      </c>
      <c r="B1118" s="14">
        <v>46013</v>
      </c>
      <c r="C1118" s="15"/>
      <c r="D1118" s="18" t="s">
        <v>32</v>
      </c>
      <c r="E1118" s="17">
        <v>25000</v>
      </c>
      <c r="F1118" s="13">
        <v>120</v>
      </c>
      <c r="G1118" s="13">
        <v>689</v>
      </c>
      <c r="H1118" s="19">
        <v>1100000</v>
      </c>
      <c r="I1118" s="19">
        <v>600000</v>
      </c>
      <c r="J1118" s="20" t="s">
        <v>37</v>
      </c>
      <c r="K1118" s="13">
        <v>51</v>
      </c>
      <c r="L1118" s="18" t="s">
        <v>41</v>
      </c>
      <c r="M1118" s="18" t="s">
        <v>35</v>
      </c>
      <c r="N1118" s="18" t="s">
        <v>36</v>
      </c>
      <c r="O1118" t="str">
        <f>IF(TRIM(J1118)="","NULL",IFERROR(VLOOKUP(TRIM(J1118),Lookup_PropertyType!$A:$B,2,FALSE()),"other"))</f>
        <v>house</v>
      </c>
      <c r="P1118">
        <f t="shared" si="17"/>
        <v>0</v>
      </c>
    </row>
    <row r="1119" spans="1:16" ht="15.75" customHeight="1" x14ac:dyDescent="0.35">
      <c r="A1119" s="13">
        <v>1118</v>
      </c>
      <c r="B1119" s="14">
        <v>46032</v>
      </c>
      <c r="C1119" s="15"/>
      <c r="D1119" s="18" t="s">
        <v>58</v>
      </c>
      <c r="E1119" s="17">
        <v>30000</v>
      </c>
      <c r="F1119" s="13">
        <v>150</v>
      </c>
      <c r="G1119" s="13">
        <v>389</v>
      </c>
      <c r="H1119" s="19">
        <v>2000000</v>
      </c>
      <c r="I1119" s="19">
        <v>250000</v>
      </c>
      <c r="J1119" s="20" t="s">
        <v>53</v>
      </c>
      <c r="K1119" s="13">
        <v>69</v>
      </c>
      <c r="L1119" s="18" t="s">
        <v>38</v>
      </c>
      <c r="M1119" s="21" t="s">
        <v>54</v>
      </c>
      <c r="N1119" s="18" t="s">
        <v>51</v>
      </c>
      <c r="O1119" t="str">
        <f>IF(TRIM(J1119)="","NULL",IFERROR(VLOOKUP(TRIM(J1119),Lookup_PropertyType!$A:$B,2,FALSE()),"other"))</f>
        <v>other</v>
      </c>
      <c r="P1119">
        <f t="shared" si="17"/>
        <v>0</v>
      </c>
    </row>
    <row r="1120" spans="1:16" ht="15.75" customHeight="1" x14ac:dyDescent="0.35">
      <c r="A1120" s="13">
        <v>1119</v>
      </c>
      <c r="B1120" s="14">
        <v>46027</v>
      </c>
      <c r="C1120" s="15"/>
      <c r="D1120" s="18" t="s">
        <v>65</v>
      </c>
      <c r="E1120" s="17">
        <v>4500</v>
      </c>
      <c r="F1120" s="13">
        <v>120</v>
      </c>
      <c r="G1120" s="13">
        <v>414</v>
      </c>
      <c r="H1120" s="19">
        <v>300000</v>
      </c>
      <c r="I1120" s="19">
        <v>120000</v>
      </c>
      <c r="J1120" s="20" t="s">
        <v>37</v>
      </c>
      <c r="K1120" s="13">
        <v>57</v>
      </c>
      <c r="L1120" s="18" t="s">
        <v>64</v>
      </c>
      <c r="M1120" s="21" t="s">
        <v>54</v>
      </c>
      <c r="N1120" s="18" t="s">
        <v>48</v>
      </c>
      <c r="O1120" t="str">
        <f>IF(TRIM(J1120)="","NULL",IFERROR(VLOOKUP(TRIM(J1120),Lookup_PropertyType!$A:$B,2,FALSE()),"other"))</f>
        <v>house</v>
      </c>
      <c r="P1120">
        <f t="shared" si="17"/>
        <v>0</v>
      </c>
    </row>
    <row r="1121" spans="1:16" ht="15.75" customHeight="1" x14ac:dyDescent="0.35">
      <c r="A1121" s="13">
        <v>1120</v>
      </c>
      <c r="B1121" s="14">
        <v>46006</v>
      </c>
      <c r="C1121" s="15"/>
      <c r="D1121" s="18" t="s">
        <v>66</v>
      </c>
      <c r="E1121" s="17">
        <v>5000</v>
      </c>
      <c r="F1121" s="13">
        <v>120</v>
      </c>
      <c r="G1121" s="13">
        <v>681</v>
      </c>
      <c r="H1121" s="19">
        <v>200000</v>
      </c>
      <c r="I1121" s="19">
        <v>30000</v>
      </c>
      <c r="J1121" s="20" t="s">
        <v>37</v>
      </c>
      <c r="K1121" s="13">
        <v>22</v>
      </c>
      <c r="L1121" s="18" t="s">
        <v>41</v>
      </c>
      <c r="M1121" s="21" t="s">
        <v>39</v>
      </c>
      <c r="N1121" s="18" t="s">
        <v>51</v>
      </c>
      <c r="O1121" t="str">
        <f>IF(TRIM(J1121)="","NULL",IFERROR(VLOOKUP(TRIM(J1121),Lookup_PropertyType!$A:$B,2,FALSE()),"other"))</f>
        <v>house</v>
      </c>
      <c r="P1121">
        <f t="shared" si="17"/>
        <v>0</v>
      </c>
    </row>
    <row r="1122" spans="1:16" ht="15.75" customHeight="1" x14ac:dyDescent="0.35">
      <c r="A1122" s="13">
        <v>1121</v>
      </c>
      <c r="B1122" s="14">
        <v>46006</v>
      </c>
      <c r="C1122" s="15"/>
      <c r="D1122" s="18" t="s">
        <v>44</v>
      </c>
      <c r="E1122" s="17">
        <v>17500</v>
      </c>
      <c r="F1122" s="13">
        <v>120</v>
      </c>
      <c r="G1122" s="13">
        <v>467</v>
      </c>
      <c r="H1122" s="19">
        <v>500000</v>
      </c>
      <c r="I1122" s="19">
        <v>175000</v>
      </c>
      <c r="J1122" s="20" t="s">
        <v>33</v>
      </c>
      <c r="K1122" s="13">
        <v>60</v>
      </c>
      <c r="L1122" s="18" t="s">
        <v>38</v>
      </c>
      <c r="M1122" s="21" t="s">
        <v>39</v>
      </c>
      <c r="N1122" s="16" t="s">
        <v>50</v>
      </c>
      <c r="O1122" t="str">
        <f>IF(TRIM(J1122)="","NULL",IFERROR(VLOOKUP(TRIM(J1122),Lookup_PropertyType!$A:$B,2,FALSE()),"other"))</f>
        <v>apartment</v>
      </c>
      <c r="P1122">
        <f t="shared" si="17"/>
        <v>0</v>
      </c>
    </row>
    <row r="1123" spans="1:16" ht="15.75" customHeight="1" x14ac:dyDescent="0.35">
      <c r="A1123" s="13">
        <v>1122</v>
      </c>
      <c r="B1123" s="14">
        <v>46006</v>
      </c>
      <c r="C1123" s="15"/>
      <c r="D1123" s="18" t="s">
        <v>32</v>
      </c>
      <c r="E1123" s="17">
        <v>24000</v>
      </c>
      <c r="F1123" s="13">
        <v>120</v>
      </c>
      <c r="G1123" s="13">
        <v>569</v>
      </c>
      <c r="H1123" s="19">
        <v>900000</v>
      </c>
      <c r="I1123" s="19">
        <v>180000</v>
      </c>
      <c r="J1123" s="20" t="s">
        <v>33</v>
      </c>
      <c r="K1123" s="13">
        <v>47</v>
      </c>
      <c r="L1123" s="18" t="s">
        <v>38</v>
      </c>
      <c r="M1123" s="21" t="s">
        <v>39</v>
      </c>
      <c r="N1123" s="18" t="s">
        <v>42</v>
      </c>
      <c r="O1123" t="str">
        <f>IF(TRIM(J1123)="","NULL",IFERROR(VLOOKUP(TRIM(J1123),Lookup_PropertyType!$A:$B,2,FALSE()),"other"))</f>
        <v>apartment</v>
      </c>
      <c r="P1123">
        <f t="shared" si="17"/>
        <v>0</v>
      </c>
    </row>
    <row r="1124" spans="1:16" ht="15.75" customHeight="1" x14ac:dyDescent="0.35">
      <c r="A1124" s="13">
        <v>1123</v>
      </c>
      <c r="B1124" s="14">
        <v>46004</v>
      </c>
      <c r="C1124" s="15"/>
      <c r="D1124" s="18" t="s">
        <v>32</v>
      </c>
      <c r="E1124" s="17">
        <v>10000</v>
      </c>
      <c r="F1124" s="13">
        <v>120</v>
      </c>
      <c r="G1124" s="13">
        <v>612</v>
      </c>
      <c r="H1124" s="19">
        <v>600000</v>
      </c>
      <c r="I1124" s="19">
        <v>100000</v>
      </c>
      <c r="J1124" s="20" t="s">
        <v>37</v>
      </c>
      <c r="K1124" s="13">
        <v>32</v>
      </c>
      <c r="L1124" s="18" t="s">
        <v>41</v>
      </c>
      <c r="M1124" s="21" t="s">
        <v>39</v>
      </c>
      <c r="N1124" s="18" t="s">
        <v>36</v>
      </c>
      <c r="O1124" t="str">
        <f>IF(TRIM(J1124)="","NULL",IFERROR(VLOOKUP(TRIM(J1124),Lookup_PropertyType!$A:$B,2,FALSE()),"other"))</f>
        <v>house</v>
      </c>
      <c r="P1124">
        <f t="shared" si="17"/>
        <v>0</v>
      </c>
    </row>
    <row r="1125" spans="1:16" ht="15.75" customHeight="1" x14ac:dyDescent="0.35">
      <c r="A1125" s="13">
        <v>1124</v>
      </c>
      <c r="B1125" s="14">
        <v>46005</v>
      </c>
      <c r="C1125" s="14">
        <v>46041</v>
      </c>
      <c r="D1125" s="18" t="s">
        <v>32</v>
      </c>
      <c r="E1125" s="17">
        <v>9000</v>
      </c>
      <c r="F1125" s="13">
        <v>180</v>
      </c>
      <c r="G1125" s="13">
        <v>712</v>
      </c>
      <c r="H1125" s="19">
        <v>380000</v>
      </c>
      <c r="I1125" s="19">
        <v>80000</v>
      </c>
      <c r="J1125" s="20" t="s">
        <v>37</v>
      </c>
      <c r="K1125" s="13">
        <v>48</v>
      </c>
      <c r="L1125" s="18" t="s">
        <v>38</v>
      </c>
      <c r="M1125" s="21" t="s">
        <v>39</v>
      </c>
      <c r="N1125" s="18"/>
      <c r="O1125" t="str">
        <f>IF(TRIM(J1125)="","NULL",IFERROR(VLOOKUP(TRIM(J1125),Lookup_PropertyType!$A:$B,2,FALSE()),"other"))</f>
        <v>house</v>
      </c>
      <c r="P1125">
        <f t="shared" si="17"/>
        <v>1</v>
      </c>
    </row>
    <row r="1126" spans="1:16" ht="15.75" customHeight="1" x14ac:dyDescent="0.35">
      <c r="A1126" s="13">
        <v>1125</v>
      </c>
      <c r="B1126" s="14">
        <v>46044</v>
      </c>
      <c r="C1126" s="15"/>
      <c r="D1126" s="18" t="s">
        <v>46</v>
      </c>
      <c r="E1126" s="17">
        <v>7500</v>
      </c>
      <c r="F1126" s="13">
        <v>180</v>
      </c>
      <c r="G1126" s="13">
        <v>456</v>
      </c>
      <c r="H1126" s="19">
        <v>180000</v>
      </c>
      <c r="I1126" s="19">
        <v>50000</v>
      </c>
      <c r="J1126" s="20" t="s">
        <v>37</v>
      </c>
      <c r="K1126" s="13">
        <v>40</v>
      </c>
      <c r="L1126" s="18" t="s">
        <v>45</v>
      </c>
      <c r="M1126" s="21" t="s">
        <v>39</v>
      </c>
      <c r="N1126" s="18" t="s">
        <v>36</v>
      </c>
      <c r="O1126" t="str">
        <f>IF(TRIM(J1126)="","NULL",IFERROR(VLOOKUP(TRIM(J1126),Lookup_PropertyType!$A:$B,2,FALSE()),"other"))</f>
        <v>house</v>
      </c>
      <c r="P1126">
        <f t="shared" si="17"/>
        <v>0</v>
      </c>
    </row>
    <row r="1127" spans="1:16" ht="15.75" customHeight="1" x14ac:dyDescent="0.35">
      <c r="A1127" s="13">
        <v>1126</v>
      </c>
      <c r="B1127" s="14">
        <v>46010</v>
      </c>
      <c r="C1127" s="15"/>
      <c r="D1127" s="18" t="s">
        <v>55</v>
      </c>
      <c r="E1127" s="17">
        <v>46000</v>
      </c>
      <c r="F1127" s="13">
        <v>180</v>
      </c>
      <c r="G1127" s="13">
        <v>219</v>
      </c>
      <c r="H1127" s="19">
        <v>900000</v>
      </c>
      <c r="I1127" s="19">
        <v>100000</v>
      </c>
      <c r="J1127" s="20" t="s">
        <v>33</v>
      </c>
      <c r="K1127" s="13">
        <v>50</v>
      </c>
      <c r="L1127" s="18" t="s">
        <v>38</v>
      </c>
      <c r="M1127" s="21" t="s">
        <v>54</v>
      </c>
      <c r="N1127" s="18" t="s">
        <v>42</v>
      </c>
      <c r="O1127" t="str">
        <f>IF(TRIM(J1127)="","NULL",IFERROR(VLOOKUP(TRIM(J1127),Lookup_PropertyType!$A:$B,2,FALSE()),"other"))</f>
        <v>apartment</v>
      </c>
      <c r="P1127">
        <f t="shared" si="17"/>
        <v>0</v>
      </c>
    </row>
    <row r="1128" spans="1:16" ht="15.75" customHeight="1" x14ac:dyDescent="0.35">
      <c r="A1128" s="13">
        <v>1127</v>
      </c>
      <c r="B1128" s="14">
        <v>46006</v>
      </c>
      <c r="C1128" s="15"/>
      <c r="D1128" s="18" t="s">
        <v>32</v>
      </c>
      <c r="E1128" s="17">
        <v>30000</v>
      </c>
      <c r="F1128" s="13">
        <v>150</v>
      </c>
      <c r="G1128" s="13">
        <v>384</v>
      </c>
      <c r="H1128" s="19">
        <v>400000</v>
      </c>
      <c r="I1128" s="19">
        <v>200000</v>
      </c>
      <c r="J1128" s="20" t="s">
        <v>33</v>
      </c>
      <c r="K1128" s="13">
        <v>38</v>
      </c>
      <c r="L1128" s="18" t="s">
        <v>59</v>
      </c>
      <c r="M1128" s="18" t="s">
        <v>39</v>
      </c>
      <c r="N1128" s="18" t="s">
        <v>36</v>
      </c>
      <c r="O1128" t="str">
        <f>IF(TRIM(J1128)="","NULL",IFERROR(VLOOKUP(TRIM(J1128),Lookup_PropertyType!$A:$B,2,FALSE()),"other"))</f>
        <v>apartment</v>
      </c>
      <c r="P1128">
        <f t="shared" si="17"/>
        <v>0</v>
      </c>
    </row>
    <row r="1129" spans="1:16" ht="15.75" customHeight="1" x14ac:dyDescent="0.35">
      <c r="A1129" s="13">
        <v>1128</v>
      </c>
      <c r="B1129" s="14">
        <v>46010</v>
      </c>
      <c r="C1129" s="14">
        <v>46079</v>
      </c>
      <c r="D1129" s="18" t="s">
        <v>57</v>
      </c>
      <c r="E1129" s="17">
        <v>4600</v>
      </c>
      <c r="F1129" s="13">
        <v>90</v>
      </c>
      <c r="G1129" s="13">
        <v>251</v>
      </c>
      <c r="H1129" s="19">
        <v>200000</v>
      </c>
      <c r="I1129" s="19">
        <v>55000</v>
      </c>
      <c r="J1129" s="20" t="s">
        <v>33</v>
      </c>
      <c r="K1129" s="13">
        <v>71</v>
      </c>
      <c r="L1129" s="18" t="s">
        <v>41</v>
      </c>
      <c r="M1129" s="18" t="s">
        <v>39</v>
      </c>
      <c r="N1129" s="18" t="s">
        <v>43</v>
      </c>
      <c r="O1129" t="str">
        <f>IF(TRIM(J1129)="","NULL",IFERROR(VLOOKUP(TRIM(J1129),Lookup_PropertyType!$A:$B,2,FALSE()),"other"))</f>
        <v>apartment</v>
      </c>
      <c r="P1129">
        <f t="shared" si="17"/>
        <v>1</v>
      </c>
    </row>
    <row r="1130" spans="1:16" ht="15.75" customHeight="1" x14ac:dyDescent="0.35">
      <c r="A1130" s="13">
        <v>1129</v>
      </c>
      <c r="B1130" s="14">
        <v>46013</v>
      </c>
      <c r="C1130" s="15"/>
      <c r="D1130" s="18" t="s">
        <v>58</v>
      </c>
      <c r="E1130" s="17">
        <v>10000</v>
      </c>
      <c r="F1130" s="13">
        <v>180</v>
      </c>
      <c r="G1130" s="13">
        <v>534</v>
      </c>
      <c r="H1130" s="19">
        <v>150000</v>
      </c>
      <c r="I1130" s="19">
        <v>40000</v>
      </c>
      <c r="J1130" s="20" t="s">
        <v>70</v>
      </c>
      <c r="K1130" s="13">
        <v>71</v>
      </c>
      <c r="L1130" s="18" t="s">
        <v>38</v>
      </c>
      <c r="M1130" s="21" t="s">
        <v>48</v>
      </c>
      <c r="N1130" s="18" t="s">
        <v>40</v>
      </c>
      <c r="O1130" t="str">
        <f>IF(TRIM(J1130)="","NULL",IFERROR(VLOOKUP(TRIM(J1130),Lookup_PropertyType!$A:$B,2,FALSE()),"other"))</f>
        <v>apartment</v>
      </c>
      <c r="P1130">
        <f t="shared" si="17"/>
        <v>0</v>
      </c>
    </row>
    <row r="1131" spans="1:16" ht="15.75" customHeight="1" x14ac:dyDescent="0.35">
      <c r="A1131" s="13">
        <v>1130</v>
      </c>
      <c r="B1131" s="14">
        <v>46010</v>
      </c>
      <c r="C1131" s="15"/>
      <c r="D1131" s="18" t="s">
        <v>57</v>
      </c>
      <c r="E1131" s="17">
        <v>13751</v>
      </c>
      <c r="F1131" s="13">
        <v>180</v>
      </c>
      <c r="G1131" s="13">
        <v>323</v>
      </c>
      <c r="H1131" s="19">
        <v>1000000</v>
      </c>
      <c r="I1131" s="19">
        <v>300000</v>
      </c>
      <c r="J1131" s="20" t="s">
        <v>33</v>
      </c>
      <c r="K1131" s="13">
        <v>52</v>
      </c>
      <c r="L1131" s="18" t="s">
        <v>38</v>
      </c>
      <c r="M1131" s="18" t="s">
        <v>35</v>
      </c>
      <c r="N1131" s="18" t="s">
        <v>43</v>
      </c>
      <c r="O1131" t="str">
        <f>IF(TRIM(J1131)="","NULL",IFERROR(VLOOKUP(TRIM(J1131),Lookup_PropertyType!$A:$B,2,FALSE()),"other"))</f>
        <v>apartment</v>
      </c>
      <c r="P1131">
        <f t="shared" si="17"/>
        <v>0</v>
      </c>
    </row>
    <row r="1132" spans="1:16" ht="15.75" customHeight="1" x14ac:dyDescent="0.35">
      <c r="A1132" s="13">
        <v>1131</v>
      </c>
      <c r="B1132" s="14">
        <v>46010</v>
      </c>
      <c r="C1132" s="15"/>
      <c r="D1132" s="18" t="s">
        <v>32</v>
      </c>
      <c r="E1132" s="17">
        <v>19500</v>
      </c>
      <c r="F1132" s="13">
        <v>120</v>
      </c>
      <c r="G1132" s="13">
        <v>329</v>
      </c>
      <c r="H1132" s="19">
        <v>450000</v>
      </c>
      <c r="I1132" s="19">
        <v>200000</v>
      </c>
      <c r="J1132" s="20" t="s">
        <v>33</v>
      </c>
      <c r="K1132" s="13">
        <v>48</v>
      </c>
      <c r="L1132" s="18" t="s">
        <v>38</v>
      </c>
      <c r="M1132" s="21" t="s">
        <v>39</v>
      </c>
      <c r="N1132" s="18" t="s">
        <v>42</v>
      </c>
      <c r="O1132" t="str">
        <f>IF(TRIM(J1132)="","NULL",IFERROR(VLOOKUP(TRIM(J1132),Lookup_PropertyType!$A:$B,2,FALSE()),"other"))</f>
        <v>apartment</v>
      </c>
      <c r="P1132">
        <f t="shared" si="17"/>
        <v>0</v>
      </c>
    </row>
    <row r="1133" spans="1:16" ht="15.75" customHeight="1" x14ac:dyDescent="0.35">
      <c r="A1133" s="13">
        <v>1132</v>
      </c>
      <c r="B1133" s="14">
        <v>46034</v>
      </c>
      <c r="C1133" s="15"/>
      <c r="D1133" s="18" t="s">
        <v>83</v>
      </c>
      <c r="E1133" s="17">
        <v>12600</v>
      </c>
      <c r="F1133" s="13">
        <v>180</v>
      </c>
      <c r="G1133" s="13">
        <v>544</v>
      </c>
      <c r="H1133" s="19">
        <v>210000</v>
      </c>
      <c r="I1133" s="19">
        <v>100000</v>
      </c>
      <c r="J1133" s="20" t="s">
        <v>37</v>
      </c>
      <c r="K1133" s="13">
        <v>46</v>
      </c>
      <c r="L1133" s="18" t="s">
        <v>45</v>
      </c>
      <c r="M1133" s="21" t="s">
        <v>35</v>
      </c>
      <c r="N1133" s="18" t="s">
        <v>42</v>
      </c>
      <c r="O1133" t="str">
        <f>IF(TRIM(J1133)="","NULL",IFERROR(VLOOKUP(TRIM(J1133),Lookup_PropertyType!$A:$B,2,FALSE()),"other"))</f>
        <v>house</v>
      </c>
      <c r="P1133">
        <f t="shared" si="17"/>
        <v>0</v>
      </c>
    </row>
    <row r="1134" spans="1:16" ht="15.75" customHeight="1" x14ac:dyDescent="0.35">
      <c r="A1134" s="13">
        <v>1133</v>
      </c>
      <c r="B1134" s="14">
        <v>46006</v>
      </c>
      <c r="C1134" s="15"/>
      <c r="D1134" s="18" t="s">
        <v>44</v>
      </c>
      <c r="E1134" s="17">
        <v>9000</v>
      </c>
      <c r="F1134" s="13">
        <v>120</v>
      </c>
      <c r="G1134" s="13">
        <v>345</v>
      </c>
      <c r="H1134" s="19">
        <v>350000</v>
      </c>
      <c r="I1134" s="19">
        <v>55000</v>
      </c>
      <c r="J1134" s="20" t="s">
        <v>37</v>
      </c>
      <c r="K1134" s="13">
        <v>39</v>
      </c>
      <c r="L1134" s="18" t="s">
        <v>38</v>
      </c>
      <c r="M1134" s="21" t="s">
        <v>39</v>
      </c>
      <c r="N1134" s="16" t="s">
        <v>50</v>
      </c>
      <c r="O1134" t="str">
        <f>IF(TRIM(J1134)="","NULL",IFERROR(VLOOKUP(TRIM(J1134),Lookup_PropertyType!$A:$B,2,FALSE()),"other"))</f>
        <v>house</v>
      </c>
      <c r="P1134">
        <f t="shared" si="17"/>
        <v>0</v>
      </c>
    </row>
    <row r="1135" spans="1:16" ht="15.75" customHeight="1" x14ac:dyDescent="0.35">
      <c r="A1135" s="13">
        <v>1134</v>
      </c>
      <c r="B1135" s="14">
        <v>46027</v>
      </c>
      <c r="C1135" s="15"/>
      <c r="D1135" s="18" t="s">
        <v>32</v>
      </c>
      <c r="E1135" s="17">
        <v>12000</v>
      </c>
      <c r="F1135" s="13">
        <v>180</v>
      </c>
      <c r="G1135" s="13">
        <v>404</v>
      </c>
      <c r="H1135" s="19">
        <v>1600000</v>
      </c>
      <c r="I1135" s="19">
        <v>300000</v>
      </c>
      <c r="J1135" s="20" t="s">
        <v>33</v>
      </c>
      <c r="K1135" s="13">
        <v>44</v>
      </c>
      <c r="L1135" s="18" t="s">
        <v>38</v>
      </c>
      <c r="M1135" s="21" t="s">
        <v>35</v>
      </c>
      <c r="N1135" s="18" t="s">
        <v>40</v>
      </c>
      <c r="O1135" t="str">
        <f>IF(TRIM(J1135)="","NULL",IFERROR(VLOOKUP(TRIM(J1135),Lookup_PropertyType!$A:$B,2,FALSE()),"other"))</f>
        <v>apartment</v>
      </c>
      <c r="P1135">
        <f t="shared" si="17"/>
        <v>0</v>
      </c>
    </row>
    <row r="1136" spans="1:16" ht="15.75" customHeight="1" x14ac:dyDescent="0.35">
      <c r="A1136" s="13">
        <v>1135</v>
      </c>
      <c r="B1136" s="14">
        <v>46094</v>
      </c>
      <c r="C1136" s="15"/>
      <c r="D1136" s="18" t="s">
        <v>32</v>
      </c>
      <c r="E1136" s="17">
        <v>4100</v>
      </c>
      <c r="F1136" s="13">
        <v>90</v>
      </c>
      <c r="G1136" s="13">
        <v>416</v>
      </c>
      <c r="H1136" s="19">
        <v>300000</v>
      </c>
      <c r="I1136" s="19">
        <v>30000</v>
      </c>
      <c r="J1136" s="20" t="s">
        <v>33</v>
      </c>
      <c r="K1136" s="13">
        <v>42</v>
      </c>
      <c r="L1136" s="18" t="s">
        <v>38</v>
      </c>
      <c r="M1136" s="21" t="s">
        <v>39</v>
      </c>
      <c r="N1136" s="18" t="s">
        <v>42</v>
      </c>
      <c r="O1136" t="str">
        <f>IF(TRIM(J1136)="","NULL",IFERROR(VLOOKUP(TRIM(J1136),Lookup_PropertyType!$A:$B,2,FALSE()),"other"))</f>
        <v>apartment</v>
      </c>
      <c r="P1136">
        <f t="shared" si="17"/>
        <v>0</v>
      </c>
    </row>
    <row r="1137" spans="1:16" ht="15.75" customHeight="1" x14ac:dyDescent="0.35">
      <c r="A1137" s="13">
        <v>1136</v>
      </c>
      <c r="B1137" s="14">
        <v>46074</v>
      </c>
      <c r="C1137" s="15"/>
      <c r="D1137" s="18" t="s">
        <v>32</v>
      </c>
      <c r="E1137" s="17">
        <v>5000</v>
      </c>
      <c r="F1137" s="13">
        <v>120</v>
      </c>
      <c r="G1137" s="13">
        <v>621</v>
      </c>
      <c r="H1137" s="19">
        <v>220000</v>
      </c>
      <c r="I1137" s="19">
        <v>50000</v>
      </c>
      <c r="J1137" s="20" t="s">
        <v>37</v>
      </c>
      <c r="K1137" s="13">
        <v>40</v>
      </c>
      <c r="L1137" s="18" t="s">
        <v>34</v>
      </c>
      <c r="M1137" s="21" t="s">
        <v>39</v>
      </c>
      <c r="N1137" s="18" t="s">
        <v>42</v>
      </c>
      <c r="O1137" t="str">
        <f>IF(TRIM(J1137)="","NULL",IFERROR(VLOOKUP(TRIM(J1137),Lookup_PropertyType!$A:$B,2,FALSE()),"other"))</f>
        <v>house</v>
      </c>
      <c r="P1137">
        <f t="shared" si="17"/>
        <v>0</v>
      </c>
    </row>
    <row r="1138" spans="1:16" ht="15.75" customHeight="1" x14ac:dyDescent="0.35">
      <c r="A1138" s="13">
        <v>1137</v>
      </c>
      <c r="B1138" s="14">
        <v>46017</v>
      </c>
      <c r="C1138" s="15"/>
      <c r="D1138" s="18" t="s">
        <v>32</v>
      </c>
      <c r="E1138" s="17">
        <v>14000</v>
      </c>
      <c r="F1138" s="13">
        <v>180</v>
      </c>
      <c r="G1138" s="13">
        <v>793</v>
      </c>
      <c r="H1138" s="19">
        <v>1000000</v>
      </c>
      <c r="I1138" s="19">
        <v>350000</v>
      </c>
      <c r="J1138" s="20" t="s">
        <v>33</v>
      </c>
      <c r="K1138" s="13">
        <v>59</v>
      </c>
      <c r="L1138" s="18" t="s">
        <v>34</v>
      </c>
      <c r="M1138" s="21" t="s">
        <v>39</v>
      </c>
      <c r="N1138" s="18" t="s">
        <v>36</v>
      </c>
      <c r="O1138" t="str">
        <f>IF(TRIM(J1138)="","NULL",IFERROR(VLOOKUP(TRIM(J1138),Lookup_PropertyType!$A:$B,2,FALSE()),"other"))</f>
        <v>apartment</v>
      </c>
      <c r="P1138">
        <f t="shared" si="17"/>
        <v>0</v>
      </c>
    </row>
    <row r="1139" spans="1:16" ht="15.75" customHeight="1" x14ac:dyDescent="0.35">
      <c r="A1139" s="13">
        <v>1138</v>
      </c>
      <c r="B1139" s="14">
        <v>46011</v>
      </c>
      <c r="C1139" s="14">
        <v>46081</v>
      </c>
      <c r="D1139" s="18" t="s">
        <v>44</v>
      </c>
      <c r="E1139" s="17">
        <v>3200</v>
      </c>
      <c r="F1139" s="13">
        <v>180</v>
      </c>
      <c r="G1139" s="13">
        <v>441</v>
      </c>
      <c r="H1139" s="19">
        <v>500000</v>
      </c>
      <c r="I1139" s="19">
        <v>60000</v>
      </c>
      <c r="J1139" s="20" t="s">
        <v>37</v>
      </c>
      <c r="K1139" s="13">
        <v>56</v>
      </c>
      <c r="L1139" s="18" t="s">
        <v>64</v>
      </c>
      <c r="M1139" s="18" t="s">
        <v>35</v>
      </c>
      <c r="N1139" s="18" t="s">
        <v>51</v>
      </c>
      <c r="O1139" t="str">
        <f>IF(TRIM(J1139)="","NULL",IFERROR(VLOOKUP(TRIM(J1139),Lookup_PropertyType!$A:$B,2,FALSE()),"other"))</f>
        <v>house</v>
      </c>
      <c r="P1139">
        <f t="shared" si="17"/>
        <v>1</v>
      </c>
    </row>
    <row r="1140" spans="1:16" ht="15.75" customHeight="1" x14ac:dyDescent="0.35">
      <c r="A1140" s="13">
        <v>1139</v>
      </c>
      <c r="B1140" s="14">
        <v>46013</v>
      </c>
      <c r="C1140" s="15"/>
      <c r="D1140" s="18" t="s">
        <v>49</v>
      </c>
      <c r="E1140" s="17">
        <v>7000</v>
      </c>
      <c r="F1140" s="13">
        <v>180</v>
      </c>
      <c r="G1140" s="13">
        <v>207</v>
      </c>
      <c r="H1140" s="19">
        <v>300000</v>
      </c>
      <c r="I1140" s="19">
        <v>160000</v>
      </c>
      <c r="J1140" s="20" t="s">
        <v>33</v>
      </c>
      <c r="K1140" s="13">
        <v>40</v>
      </c>
      <c r="L1140" s="18" t="s">
        <v>38</v>
      </c>
      <c r="M1140" s="21" t="s">
        <v>54</v>
      </c>
      <c r="N1140" s="18" t="s">
        <v>40</v>
      </c>
      <c r="O1140" t="str">
        <f>IF(TRIM(J1140)="","NULL",IFERROR(VLOOKUP(TRIM(J1140),Lookup_PropertyType!$A:$B,2,FALSE()),"other"))</f>
        <v>apartment</v>
      </c>
      <c r="P1140">
        <f t="shared" si="17"/>
        <v>0</v>
      </c>
    </row>
    <row r="1141" spans="1:16" ht="15.75" customHeight="1" x14ac:dyDescent="0.35">
      <c r="A1141" s="13">
        <v>1140</v>
      </c>
      <c r="B1141" s="14">
        <v>46012</v>
      </c>
      <c r="C1141" s="15"/>
      <c r="D1141" s="18"/>
      <c r="E1141" s="17">
        <v>20000</v>
      </c>
      <c r="F1141" s="13">
        <v>180</v>
      </c>
      <c r="G1141" s="13">
        <v>741</v>
      </c>
      <c r="H1141" s="19">
        <v>700000</v>
      </c>
      <c r="I1141" s="19">
        <v>150000</v>
      </c>
      <c r="J1141" s="20" t="s">
        <v>37</v>
      </c>
      <c r="K1141" s="13">
        <v>37</v>
      </c>
      <c r="L1141" s="18" t="s">
        <v>45</v>
      </c>
      <c r="M1141" s="21" t="s">
        <v>39</v>
      </c>
      <c r="N1141" s="18" t="s">
        <v>42</v>
      </c>
      <c r="O1141" t="str">
        <f>IF(TRIM(J1141)="","NULL",IFERROR(VLOOKUP(TRIM(J1141),Lookup_PropertyType!$A:$B,2,FALSE()),"other"))</f>
        <v>house</v>
      </c>
      <c r="P1141">
        <f t="shared" si="17"/>
        <v>0</v>
      </c>
    </row>
    <row r="1142" spans="1:16" ht="15.75" customHeight="1" x14ac:dyDescent="0.35">
      <c r="A1142" s="13">
        <v>1141</v>
      </c>
      <c r="B1142" s="14">
        <v>46081</v>
      </c>
      <c r="C1142" s="15"/>
      <c r="D1142" s="18" t="s">
        <v>32</v>
      </c>
      <c r="E1142" s="17">
        <v>50000</v>
      </c>
      <c r="F1142" s="13">
        <v>180</v>
      </c>
      <c r="G1142" s="13">
        <v>606</v>
      </c>
      <c r="H1142" s="19">
        <v>1000000</v>
      </c>
      <c r="I1142" s="19">
        <v>100000</v>
      </c>
      <c r="J1142" s="20" t="s">
        <v>33</v>
      </c>
      <c r="K1142" s="13">
        <v>44</v>
      </c>
      <c r="L1142" s="18" t="s">
        <v>34</v>
      </c>
      <c r="M1142" s="21" t="s">
        <v>39</v>
      </c>
      <c r="N1142" s="18" t="s">
        <v>36</v>
      </c>
      <c r="O1142" t="str">
        <f>IF(TRIM(J1142)="","NULL",IFERROR(VLOOKUP(TRIM(J1142),Lookup_PropertyType!$A:$B,2,FALSE()),"other"))</f>
        <v>apartment</v>
      </c>
      <c r="P1142">
        <f t="shared" si="17"/>
        <v>0</v>
      </c>
    </row>
    <row r="1143" spans="1:16" ht="15.75" customHeight="1" x14ac:dyDescent="0.35">
      <c r="A1143" s="13">
        <v>1142</v>
      </c>
      <c r="B1143" s="14">
        <v>46031</v>
      </c>
      <c r="C1143" s="14">
        <v>46107</v>
      </c>
      <c r="D1143" s="18" t="s">
        <v>58</v>
      </c>
      <c r="E1143" s="17">
        <v>37000</v>
      </c>
      <c r="F1143" s="13">
        <v>180</v>
      </c>
      <c r="G1143" s="13">
        <v>612</v>
      </c>
      <c r="H1143" s="19">
        <v>700000</v>
      </c>
      <c r="I1143" s="19">
        <v>350000</v>
      </c>
      <c r="J1143" s="20" t="s">
        <v>33</v>
      </c>
      <c r="K1143" s="13">
        <v>42</v>
      </c>
      <c r="L1143" s="18" t="s">
        <v>41</v>
      </c>
      <c r="M1143" s="18" t="s">
        <v>35</v>
      </c>
      <c r="N1143" s="18" t="s">
        <v>36</v>
      </c>
      <c r="O1143" t="str">
        <f>IF(TRIM(J1143)="","NULL",IFERROR(VLOOKUP(TRIM(J1143),Lookup_PropertyType!$A:$B,2,FALSE()),"other"))</f>
        <v>apartment</v>
      </c>
      <c r="P1143">
        <f t="shared" si="17"/>
        <v>1</v>
      </c>
    </row>
    <row r="1144" spans="1:16" ht="15.75" customHeight="1" x14ac:dyDescent="0.35">
      <c r="A1144" s="13">
        <v>1143</v>
      </c>
      <c r="B1144" s="14">
        <v>46013</v>
      </c>
      <c r="C1144" s="14">
        <v>46060</v>
      </c>
      <c r="D1144" s="18" t="s">
        <v>32</v>
      </c>
      <c r="E1144" s="17">
        <v>6468</v>
      </c>
      <c r="F1144" s="13">
        <v>180</v>
      </c>
      <c r="G1144" s="13">
        <v>240</v>
      </c>
      <c r="H1144" s="19">
        <v>380000</v>
      </c>
      <c r="I1144" s="19">
        <v>30000</v>
      </c>
      <c r="J1144" s="20" t="s">
        <v>33</v>
      </c>
      <c r="K1144" s="13">
        <v>44</v>
      </c>
      <c r="L1144" s="18" t="s">
        <v>34</v>
      </c>
      <c r="M1144" s="21" t="s">
        <v>54</v>
      </c>
      <c r="N1144" s="18"/>
      <c r="O1144" t="str">
        <f>IF(TRIM(J1144)="","NULL",IFERROR(VLOOKUP(TRIM(J1144),Lookup_PropertyType!$A:$B,2,FALSE()),"other"))</f>
        <v>apartment</v>
      </c>
      <c r="P1144">
        <f t="shared" si="17"/>
        <v>1</v>
      </c>
    </row>
    <row r="1145" spans="1:16" ht="15.75" customHeight="1" x14ac:dyDescent="0.35">
      <c r="A1145" s="13">
        <v>1144</v>
      </c>
      <c r="B1145" s="14">
        <v>46037</v>
      </c>
      <c r="C1145" s="15"/>
      <c r="D1145" s="18" t="s">
        <v>46</v>
      </c>
      <c r="E1145" s="17">
        <v>12500</v>
      </c>
      <c r="F1145" s="13">
        <v>180</v>
      </c>
      <c r="G1145" s="13">
        <v>707</v>
      </c>
      <c r="H1145" s="19">
        <v>1390000</v>
      </c>
      <c r="I1145" s="19">
        <v>230000</v>
      </c>
      <c r="J1145" s="20" t="s">
        <v>33</v>
      </c>
      <c r="K1145" s="13">
        <v>46</v>
      </c>
      <c r="L1145" s="18" t="s">
        <v>34</v>
      </c>
      <c r="M1145" s="21" t="s">
        <v>54</v>
      </c>
      <c r="N1145" s="18" t="s">
        <v>42</v>
      </c>
      <c r="O1145" t="str">
        <f>IF(TRIM(J1145)="","NULL",IFERROR(VLOOKUP(TRIM(J1145),Lookup_PropertyType!$A:$B,2,FALSE()),"other"))</f>
        <v>apartment</v>
      </c>
      <c r="P1145">
        <f t="shared" si="17"/>
        <v>0</v>
      </c>
    </row>
    <row r="1146" spans="1:16" ht="15.75" customHeight="1" x14ac:dyDescent="0.35">
      <c r="A1146" s="13">
        <v>1145</v>
      </c>
      <c r="B1146" s="14">
        <v>46013</v>
      </c>
      <c r="C1146" s="14">
        <v>46053</v>
      </c>
      <c r="D1146" s="18" t="s">
        <v>32</v>
      </c>
      <c r="E1146" s="17">
        <v>21000</v>
      </c>
      <c r="F1146" s="13">
        <v>120</v>
      </c>
      <c r="G1146" s="13">
        <v>810</v>
      </c>
      <c r="H1146" s="19">
        <v>400000</v>
      </c>
      <c r="I1146" s="19">
        <v>160000</v>
      </c>
      <c r="J1146" s="20" t="s">
        <v>33</v>
      </c>
      <c r="K1146" s="13">
        <v>62</v>
      </c>
      <c r="L1146" s="18" t="s">
        <v>64</v>
      </c>
      <c r="M1146" s="21" t="s">
        <v>39</v>
      </c>
      <c r="N1146" s="18" t="s">
        <v>51</v>
      </c>
      <c r="O1146" t="str">
        <f>IF(TRIM(J1146)="","NULL",IFERROR(VLOOKUP(TRIM(J1146),Lookup_PropertyType!$A:$B,2,FALSE()),"other"))</f>
        <v>apartment</v>
      </c>
      <c r="P1146">
        <f t="shared" si="17"/>
        <v>1</v>
      </c>
    </row>
    <row r="1147" spans="1:16" ht="15.75" customHeight="1" x14ac:dyDescent="0.35">
      <c r="A1147" s="13">
        <v>1146</v>
      </c>
      <c r="B1147" s="14">
        <v>46017</v>
      </c>
      <c r="C1147" s="15"/>
      <c r="D1147" s="18" t="s">
        <v>32</v>
      </c>
      <c r="E1147" s="17">
        <v>4800</v>
      </c>
      <c r="F1147" s="13">
        <v>180</v>
      </c>
      <c r="G1147" s="13">
        <v>468</v>
      </c>
      <c r="H1147" s="19">
        <v>370000</v>
      </c>
      <c r="I1147" s="19">
        <v>50000</v>
      </c>
      <c r="J1147" s="20" t="s">
        <v>33</v>
      </c>
      <c r="K1147" s="13">
        <v>47</v>
      </c>
      <c r="L1147" s="18" t="s">
        <v>38</v>
      </c>
      <c r="M1147" s="21" t="s">
        <v>39</v>
      </c>
      <c r="N1147" s="18" t="s">
        <v>42</v>
      </c>
      <c r="O1147" t="str">
        <f>IF(TRIM(J1147)="","NULL",IFERROR(VLOOKUP(TRIM(J1147),Lookup_PropertyType!$A:$B,2,FALSE()),"other"))</f>
        <v>apartment</v>
      </c>
      <c r="P1147">
        <f t="shared" si="17"/>
        <v>0</v>
      </c>
    </row>
    <row r="1148" spans="1:16" ht="15.75" customHeight="1" x14ac:dyDescent="0.35">
      <c r="A1148" s="13">
        <v>1147</v>
      </c>
      <c r="B1148" s="14">
        <v>46018</v>
      </c>
      <c r="C1148" s="15"/>
      <c r="D1148" s="18" t="s">
        <v>58</v>
      </c>
      <c r="E1148" s="17">
        <v>25000</v>
      </c>
      <c r="F1148" s="13">
        <v>90</v>
      </c>
      <c r="G1148" s="13">
        <v>536</v>
      </c>
      <c r="H1148" s="19">
        <v>1200000</v>
      </c>
      <c r="I1148" s="19">
        <v>1378848</v>
      </c>
      <c r="J1148" s="20" t="s">
        <v>37</v>
      </c>
      <c r="K1148" s="13">
        <v>68</v>
      </c>
      <c r="L1148" s="18" t="s">
        <v>34</v>
      </c>
      <c r="M1148" s="21" t="s">
        <v>48</v>
      </c>
      <c r="N1148" s="18" t="s">
        <v>43</v>
      </c>
      <c r="O1148" t="str">
        <f>IF(TRIM(J1148)="","NULL",IFERROR(VLOOKUP(TRIM(J1148),Lookup_PropertyType!$A:$B,2,FALSE()),"other"))</f>
        <v>house</v>
      </c>
      <c r="P1148">
        <f t="shared" si="17"/>
        <v>0</v>
      </c>
    </row>
    <row r="1149" spans="1:16" ht="15.75" customHeight="1" x14ac:dyDescent="0.35">
      <c r="A1149" s="13">
        <v>1148</v>
      </c>
      <c r="B1149" s="14">
        <v>46013</v>
      </c>
      <c r="C1149" s="15"/>
      <c r="D1149" s="18" t="s">
        <v>58</v>
      </c>
      <c r="E1149" s="17">
        <v>17000</v>
      </c>
      <c r="F1149" s="13">
        <v>180</v>
      </c>
      <c r="G1149" s="13">
        <v>292</v>
      </c>
      <c r="H1149" s="19">
        <v>1200000</v>
      </c>
      <c r="I1149" s="19">
        <v>130000</v>
      </c>
      <c r="J1149" s="20" t="s">
        <v>53</v>
      </c>
      <c r="K1149" s="13">
        <v>50</v>
      </c>
      <c r="L1149" s="18" t="s">
        <v>45</v>
      </c>
      <c r="M1149" s="21" t="s">
        <v>39</v>
      </c>
      <c r="N1149" s="18" t="s">
        <v>36</v>
      </c>
      <c r="O1149" t="str">
        <f>IF(TRIM(J1149)="","NULL",IFERROR(VLOOKUP(TRIM(J1149),Lookup_PropertyType!$A:$B,2,FALSE()),"other"))</f>
        <v>other</v>
      </c>
      <c r="P1149">
        <f t="shared" si="17"/>
        <v>0</v>
      </c>
    </row>
    <row r="1150" spans="1:16" ht="15.75" customHeight="1" x14ac:dyDescent="0.35">
      <c r="A1150" s="13">
        <v>1149</v>
      </c>
      <c r="B1150" s="14">
        <v>46018</v>
      </c>
      <c r="C1150" s="15"/>
      <c r="D1150" s="18"/>
      <c r="E1150" s="17">
        <v>30000</v>
      </c>
      <c r="F1150" s="18"/>
      <c r="G1150" s="18"/>
      <c r="H1150" s="19">
        <v>550000</v>
      </c>
      <c r="I1150" s="19">
        <v>200000</v>
      </c>
      <c r="J1150" s="20" t="s">
        <v>60</v>
      </c>
      <c r="K1150" s="13">
        <v>56</v>
      </c>
      <c r="L1150" s="18" t="s">
        <v>38</v>
      </c>
      <c r="M1150" s="18" t="s">
        <v>35</v>
      </c>
      <c r="N1150" s="18" t="s">
        <v>36</v>
      </c>
      <c r="O1150" t="str">
        <f>IF(TRIM(J1150)="","NULL",IFERROR(VLOOKUP(TRIM(J1150),Lookup_PropertyType!$A:$B,2,FALSE()),"other"))</f>
        <v>other</v>
      </c>
      <c r="P1150">
        <f t="shared" si="17"/>
        <v>0</v>
      </c>
    </row>
    <row r="1151" spans="1:16" ht="15.75" customHeight="1" x14ac:dyDescent="0.35">
      <c r="A1151" s="13">
        <v>1150</v>
      </c>
      <c r="B1151" s="14">
        <v>46034</v>
      </c>
      <c r="C1151" s="15"/>
      <c r="D1151" s="18" t="s">
        <v>32</v>
      </c>
      <c r="E1151" s="17">
        <v>30000</v>
      </c>
      <c r="F1151" s="13">
        <v>90</v>
      </c>
      <c r="G1151" s="13">
        <v>785</v>
      </c>
      <c r="H1151" s="19">
        <v>800000</v>
      </c>
      <c r="I1151" s="19">
        <v>400000</v>
      </c>
      <c r="J1151" s="20" t="s">
        <v>37</v>
      </c>
      <c r="K1151" s="13">
        <v>74</v>
      </c>
      <c r="L1151" s="18" t="s">
        <v>41</v>
      </c>
      <c r="M1151" s="18" t="s">
        <v>35</v>
      </c>
      <c r="N1151" s="18" t="s">
        <v>36</v>
      </c>
      <c r="O1151" t="str">
        <f>IF(TRIM(J1151)="","NULL",IFERROR(VLOOKUP(TRIM(J1151),Lookup_PropertyType!$A:$B,2,FALSE()),"other"))</f>
        <v>house</v>
      </c>
      <c r="P1151">
        <f t="shared" si="17"/>
        <v>0</v>
      </c>
    </row>
    <row r="1152" spans="1:16" ht="15.75" customHeight="1" x14ac:dyDescent="0.35">
      <c r="A1152" s="13">
        <v>1151</v>
      </c>
      <c r="B1152" s="14">
        <v>46017</v>
      </c>
      <c r="C1152" s="14">
        <v>46053</v>
      </c>
      <c r="D1152" s="18" t="s">
        <v>32</v>
      </c>
      <c r="E1152" s="17">
        <v>19120</v>
      </c>
      <c r="F1152" s="13">
        <v>180</v>
      </c>
      <c r="G1152" s="13">
        <v>827</v>
      </c>
      <c r="H1152" s="19">
        <v>550000</v>
      </c>
      <c r="I1152" s="19">
        <v>140000</v>
      </c>
      <c r="J1152" s="20" t="s">
        <v>60</v>
      </c>
      <c r="K1152" s="13">
        <v>44</v>
      </c>
      <c r="L1152" s="18" t="s">
        <v>38</v>
      </c>
      <c r="M1152" s="21" t="s">
        <v>39</v>
      </c>
      <c r="N1152" s="18" t="s">
        <v>42</v>
      </c>
      <c r="O1152" t="str">
        <f>IF(TRIM(J1152)="","NULL",IFERROR(VLOOKUP(TRIM(J1152),Lookup_PropertyType!$A:$B,2,FALSE()),"other"))</f>
        <v>other</v>
      </c>
      <c r="P1152">
        <f t="shared" si="17"/>
        <v>1</v>
      </c>
    </row>
    <row r="1153" spans="1:16" ht="15.75" customHeight="1" x14ac:dyDescent="0.35">
      <c r="A1153" s="13">
        <v>1152</v>
      </c>
      <c r="B1153" s="14">
        <v>46011</v>
      </c>
      <c r="C1153" s="15"/>
      <c r="D1153" s="18" t="s">
        <v>32</v>
      </c>
      <c r="E1153" s="17">
        <v>65000</v>
      </c>
      <c r="F1153" s="13">
        <v>180</v>
      </c>
      <c r="G1153" s="13">
        <v>444</v>
      </c>
      <c r="H1153" s="19">
        <v>600000</v>
      </c>
      <c r="I1153" s="19">
        <v>110000</v>
      </c>
      <c r="J1153" s="20" t="s">
        <v>33</v>
      </c>
      <c r="K1153" s="13">
        <v>45</v>
      </c>
      <c r="L1153" s="18" t="s">
        <v>38</v>
      </c>
      <c r="M1153" s="18" t="s">
        <v>35</v>
      </c>
      <c r="N1153" s="18" t="s">
        <v>42</v>
      </c>
      <c r="O1153" t="str">
        <f>IF(TRIM(J1153)="","NULL",IFERROR(VLOOKUP(TRIM(J1153),Lookup_PropertyType!$A:$B,2,FALSE()),"other"))</f>
        <v>apartment</v>
      </c>
      <c r="P1153">
        <f t="shared" si="17"/>
        <v>0</v>
      </c>
    </row>
    <row r="1154" spans="1:16" ht="15.75" customHeight="1" x14ac:dyDescent="0.35">
      <c r="A1154" s="13">
        <v>1153</v>
      </c>
      <c r="B1154" s="14">
        <v>46026</v>
      </c>
      <c r="C1154" s="14">
        <v>46060</v>
      </c>
      <c r="D1154" s="18" t="s">
        <v>32</v>
      </c>
      <c r="E1154" s="17">
        <v>16500</v>
      </c>
      <c r="F1154" s="13">
        <v>180</v>
      </c>
      <c r="G1154" s="13">
        <v>915</v>
      </c>
      <c r="H1154" s="19">
        <v>400000</v>
      </c>
      <c r="I1154" s="19">
        <v>150000</v>
      </c>
      <c r="J1154" s="20" t="s">
        <v>33</v>
      </c>
      <c r="K1154" s="13">
        <v>51</v>
      </c>
      <c r="L1154" s="18" t="s">
        <v>59</v>
      </c>
      <c r="M1154" s="18" t="s">
        <v>35</v>
      </c>
      <c r="N1154" s="18" t="s">
        <v>42</v>
      </c>
      <c r="O1154" t="str">
        <f>IF(TRIM(J1154)="","NULL",IFERROR(VLOOKUP(TRIM(J1154),Lookup_PropertyType!$A:$B,2,FALSE()),"other"))</f>
        <v>apartment</v>
      </c>
      <c r="P1154">
        <f t="shared" ref="P1154:P1186" si="18">IF(AND(C1154&lt;&gt;"",C1154&gt;=B1154),1,0)</f>
        <v>1</v>
      </c>
    </row>
    <row r="1155" spans="1:16" ht="15.75" customHeight="1" x14ac:dyDescent="0.35">
      <c r="A1155" s="13">
        <v>1154</v>
      </c>
      <c r="B1155" s="14">
        <v>46026</v>
      </c>
      <c r="C1155" s="15"/>
      <c r="D1155" s="18" t="s">
        <v>32</v>
      </c>
      <c r="E1155" s="17">
        <v>28000</v>
      </c>
      <c r="F1155" s="13">
        <v>60</v>
      </c>
      <c r="G1155" s="13">
        <v>765</v>
      </c>
      <c r="H1155" s="19">
        <v>750000</v>
      </c>
      <c r="I1155" s="19">
        <v>150000</v>
      </c>
      <c r="J1155" s="20" t="s">
        <v>86</v>
      </c>
      <c r="K1155" s="13">
        <v>54</v>
      </c>
      <c r="L1155" s="18" t="s">
        <v>38</v>
      </c>
      <c r="M1155" s="18" t="s">
        <v>35</v>
      </c>
      <c r="N1155" s="18" t="s">
        <v>36</v>
      </c>
      <c r="O1155" t="str">
        <f>IF(TRIM(J1155)="","NULL",IFERROR(VLOOKUP(TRIM(J1155),Lookup_PropertyType!$A:$B,2,FALSE()),"other"))</f>
        <v>apartment</v>
      </c>
      <c r="P1155">
        <f t="shared" si="18"/>
        <v>0</v>
      </c>
    </row>
    <row r="1156" spans="1:16" ht="15.75" customHeight="1" x14ac:dyDescent="0.35">
      <c r="A1156" s="13">
        <v>1155</v>
      </c>
      <c r="B1156" s="14">
        <v>46020</v>
      </c>
      <c r="C1156" s="14">
        <v>46104</v>
      </c>
      <c r="D1156" s="18" t="s">
        <v>32</v>
      </c>
      <c r="E1156" s="17">
        <v>20000</v>
      </c>
      <c r="F1156" s="13">
        <v>180</v>
      </c>
      <c r="G1156" s="13">
        <v>803</v>
      </c>
      <c r="H1156" s="19">
        <v>2000000</v>
      </c>
      <c r="I1156" s="19">
        <v>95000</v>
      </c>
      <c r="J1156" s="20" t="s">
        <v>33</v>
      </c>
      <c r="K1156" s="13">
        <v>46</v>
      </c>
      <c r="L1156" s="18" t="s">
        <v>38</v>
      </c>
      <c r="M1156" s="18" t="s">
        <v>48</v>
      </c>
      <c r="N1156" s="18" t="s">
        <v>36</v>
      </c>
      <c r="O1156" t="str">
        <f>IF(TRIM(J1156)="","NULL",IFERROR(VLOOKUP(TRIM(J1156),Lookup_PropertyType!$A:$B,2,FALSE()),"other"))</f>
        <v>apartment</v>
      </c>
      <c r="P1156">
        <f t="shared" si="18"/>
        <v>1</v>
      </c>
    </row>
    <row r="1157" spans="1:16" ht="15.75" customHeight="1" x14ac:dyDescent="0.35">
      <c r="A1157" s="13">
        <v>1156</v>
      </c>
      <c r="B1157" s="14">
        <v>46034</v>
      </c>
      <c r="C1157" s="15"/>
      <c r="D1157" s="18" t="s">
        <v>32</v>
      </c>
      <c r="E1157" s="17">
        <v>15000</v>
      </c>
      <c r="F1157" s="13">
        <v>120</v>
      </c>
      <c r="G1157" s="13">
        <v>284</v>
      </c>
      <c r="H1157" s="19">
        <v>450000</v>
      </c>
      <c r="I1157" s="19">
        <v>230000</v>
      </c>
      <c r="J1157" s="20" t="s">
        <v>37</v>
      </c>
      <c r="K1157" s="13">
        <v>42</v>
      </c>
      <c r="L1157" s="18" t="s">
        <v>41</v>
      </c>
      <c r="M1157" s="18" t="s">
        <v>35</v>
      </c>
      <c r="N1157" s="18" t="s">
        <v>36</v>
      </c>
      <c r="O1157" t="str">
        <f>IF(TRIM(J1157)="","NULL",IFERROR(VLOOKUP(TRIM(J1157),Lookup_PropertyType!$A:$B,2,FALSE()),"other"))</f>
        <v>house</v>
      </c>
      <c r="P1157">
        <f t="shared" si="18"/>
        <v>0</v>
      </c>
    </row>
    <row r="1158" spans="1:16" ht="15.75" customHeight="1" x14ac:dyDescent="0.35">
      <c r="A1158" s="13">
        <v>1157</v>
      </c>
      <c r="B1158" s="14">
        <v>46026</v>
      </c>
      <c r="C1158" s="15"/>
      <c r="D1158" s="18" t="s">
        <v>44</v>
      </c>
      <c r="E1158" s="17">
        <v>12000</v>
      </c>
      <c r="F1158" s="13">
        <v>180</v>
      </c>
      <c r="G1158" s="13">
        <v>963</v>
      </c>
      <c r="H1158" s="19">
        <v>200000</v>
      </c>
      <c r="I1158" s="19">
        <v>150000</v>
      </c>
      <c r="J1158" s="20" t="s">
        <v>37</v>
      </c>
      <c r="K1158" s="13">
        <v>41</v>
      </c>
      <c r="L1158" s="18" t="s">
        <v>41</v>
      </c>
      <c r="M1158" s="21" t="s">
        <v>54</v>
      </c>
      <c r="N1158" s="16" t="s">
        <v>50</v>
      </c>
      <c r="O1158" t="str">
        <f>IF(TRIM(J1158)="","NULL",IFERROR(VLOOKUP(TRIM(J1158),Lookup_PropertyType!$A:$B,2,FALSE()),"other"))</f>
        <v>house</v>
      </c>
      <c r="P1158">
        <f t="shared" si="18"/>
        <v>0</v>
      </c>
    </row>
    <row r="1159" spans="1:16" ht="15.75" customHeight="1" x14ac:dyDescent="0.35">
      <c r="A1159" s="13">
        <v>1158</v>
      </c>
      <c r="B1159" s="14">
        <v>46024</v>
      </c>
      <c r="C1159" s="15"/>
      <c r="D1159" s="18" t="s">
        <v>32</v>
      </c>
      <c r="E1159" s="17">
        <v>14000</v>
      </c>
      <c r="F1159" s="13">
        <v>180</v>
      </c>
      <c r="G1159" s="13">
        <v>762</v>
      </c>
      <c r="H1159" s="19">
        <v>330000</v>
      </c>
      <c r="I1159" s="19">
        <v>30000</v>
      </c>
      <c r="J1159" s="20" t="s">
        <v>33</v>
      </c>
      <c r="K1159" s="13">
        <v>44</v>
      </c>
      <c r="L1159" s="18" t="s">
        <v>38</v>
      </c>
      <c r="M1159" s="21" t="s">
        <v>54</v>
      </c>
      <c r="N1159" s="18" t="s">
        <v>42</v>
      </c>
      <c r="O1159" t="str">
        <f>IF(TRIM(J1159)="","NULL",IFERROR(VLOOKUP(TRIM(J1159),Lookup_PropertyType!$A:$B,2,FALSE()),"other"))</f>
        <v>apartment</v>
      </c>
      <c r="P1159">
        <f t="shared" si="18"/>
        <v>0</v>
      </c>
    </row>
    <row r="1160" spans="1:16" ht="15.75" customHeight="1" x14ac:dyDescent="0.35">
      <c r="A1160" s="13">
        <v>1159</v>
      </c>
      <c r="B1160" s="14">
        <v>46040</v>
      </c>
      <c r="C1160" s="15"/>
      <c r="D1160" s="18" t="s">
        <v>32</v>
      </c>
      <c r="E1160" s="17">
        <v>20000</v>
      </c>
      <c r="F1160" s="13">
        <v>180</v>
      </c>
      <c r="G1160" s="13">
        <v>406</v>
      </c>
      <c r="H1160" s="19">
        <v>5000000</v>
      </c>
      <c r="I1160" s="19">
        <v>1800000</v>
      </c>
      <c r="J1160" s="20" t="s">
        <v>33</v>
      </c>
      <c r="K1160" s="13">
        <v>56</v>
      </c>
      <c r="L1160" s="18" t="s">
        <v>38</v>
      </c>
      <c r="M1160" s="18" t="s">
        <v>35</v>
      </c>
      <c r="N1160" s="18" t="s">
        <v>36</v>
      </c>
      <c r="O1160" t="str">
        <f>IF(TRIM(J1160)="","NULL",IFERROR(VLOOKUP(TRIM(J1160),Lookup_PropertyType!$A:$B,2,FALSE()),"other"))</f>
        <v>apartment</v>
      </c>
      <c r="P1160">
        <f t="shared" si="18"/>
        <v>0</v>
      </c>
    </row>
    <row r="1161" spans="1:16" ht="15.75" customHeight="1" x14ac:dyDescent="0.35">
      <c r="A1161" s="13">
        <v>1160</v>
      </c>
      <c r="B1161" s="14">
        <v>46073</v>
      </c>
      <c r="C1161" s="15"/>
      <c r="D1161" s="18" t="s">
        <v>32</v>
      </c>
      <c r="E1161" s="17">
        <v>25000</v>
      </c>
      <c r="F1161" s="13">
        <v>180</v>
      </c>
      <c r="G1161" s="13">
        <v>969</v>
      </c>
      <c r="H1161" s="19">
        <v>900000</v>
      </c>
      <c r="I1161" s="19">
        <v>220000</v>
      </c>
      <c r="J1161" s="20" t="s">
        <v>33</v>
      </c>
      <c r="K1161" s="13">
        <v>36</v>
      </c>
      <c r="L1161" s="18" t="s">
        <v>45</v>
      </c>
      <c r="M1161" s="21" t="s">
        <v>39</v>
      </c>
      <c r="N1161" s="18" t="s">
        <v>40</v>
      </c>
      <c r="O1161" t="str">
        <f>IF(TRIM(J1161)="","NULL",IFERROR(VLOOKUP(TRIM(J1161),Lookup_PropertyType!$A:$B,2,FALSE()),"other"))</f>
        <v>apartment</v>
      </c>
      <c r="P1161">
        <f t="shared" si="18"/>
        <v>0</v>
      </c>
    </row>
    <row r="1162" spans="1:16" ht="15.75" customHeight="1" x14ac:dyDescent="0.35">
      <c r="A1162" s="13">
        <v>1161</v>
      </c>
      <c r="B1162" s="14">
        <v>46019</v>
      </c>
      <c r="C1162" s="15"/>
      <c r="D1162" s="18" t="s">
        <v>32</v>
      </c>
      <c r="E1162" s="17">
        <v>15000</v>
      </c>
      <c r="F1162" s="13">
        <v>180</v>
      </c>
      <c r="G1162" s="13">
        <v>379</v>
      </c>
      <c r="H1162" s="19">
        <v>240000</v>
      </c>
      <c r="I1162" s="19">
        <v>120000</v>
      </c>
      <c r="J1162" s="20" t="s">
        <v>33</v>
      </c>
      <c r="K1162" s="13">
        <v>42</v>
      </c>
      <c r="L1162" s="18" t="s">
        <v>59</v>
      </c>
      <c r="M1162" s="18" t="s">
        <v>39</v>
      </c>
      <c r="N1162" s="18" t="s">
        <v>36</v>
      </c>
      <c r="O1162" t="str">
        <f>IF(TRIM(J1162)="","NULL",IFERROR(VLOOKUP(TRIM(J1162),Lookup_PropertyType!$A:$B,2,FALSE()),"other"))</f>
        <v>apartment</v>
      </c>
      <c r="P1162">
        <f t="shared" si="18"/>
        <v>0</v>
      </c>
    </row>
    <row r="1163" spans="1:16" ht="15.75" customHeight="1" x14ac:dyDescent="0.35">
      <c r="A1163" s="13">
        <v>1162</v>
      </c>
      <c r="B1163" s="14">
        <v>46031</v>
      </c>
      <c r="C1163" s="14">
        <v>46081</v>
      </c>
      <c r="D1163" s="18" t="s">
        <v>44</v>
      </c>
      <c r="E1163" s="17">
        <v>150000</v>
      </c>
      <c r="F1163" s="13">
        <v>90</v>
      </c>
      <c r="G1163" s="13">
        <v>417</v>
      </c>
      <c r="H1163" s="19">
        <v>2200000</v>
      </c>
      <c r="I1163" s="19">
        <v>700000</v>
      </c>
      <c r="J1163" s="20" t="s">
        <v>33</v>
      </c>
      <c r="K1163" s="13">
        <v>54</v>
      </c>
      <c r="L1163" s="18" t="s">
        <v>45</v>
      </c>
      <c r="M1163" s="21" t="s">
        <v>48</v>
      </c>
      <c r="N1163" s="18" t="s">
        <v>48</v>
      </c>
      <c r="O1163" t="str">
        <f>IF(TRIM(J1163)="","NULL",IFERROR(VLOOKUP(TRIM(J1163),Lookup_PropertyType!$A:$B,2,FALSE()),"other"))</f>
        <v>apartment</v>
      </c>
      <c r="P1163">
        <f t="shared" si="18"/>
        <v>1</v>
      </c>
    </row>
    <row r="1164" spans="1:16" ht="15.75" customHeight="1" x14ac:dyDescent="0.35">
      <c r="A1164" s="13">
        <v>1163</v>
      </c>
      <c r="B1164" s="14">
        <v>46040</v>
      </c>
      <c r="C1164" s="15"/>
      <c r="D1164" s="18" t="s">
        <v>46</v>
      </c>
      <c r="E1164" s="17">
        <v>15000</v>
      </c>
      <c r="F1164" s="13">
        <v>180</v>
      </c>
      <c r="G1164" s="13">
        <v>253</v>
      </c>
      <c r="H1164" s="19">
        <v>400000</v>
      </c>
      <c r="I1164" s="19">
        <v>100000</v>
      </c>
      <c r="J1164" s="20" t="s">
        <v>33</v>
      </c>
      <c r="K1164" s="13">
        <v>38</v>
      </c>
      <c r="L1164" s="18" t="s">
        <v>34</v>
      </c>
      <c r="M1164" s="21" t="s">
        <v>54</v>
      </c>
      <c r="N1164" s="16" t="s">
        <v>50</v>
      </c>
      <c r="O1164" t="str">
        <f>IF(TRIM(J1164)="","NULL",IFERROR(VLOOKUP(TRIM(J1164),Lookup_PropertyType!$A:$B,2,FALSE()),"other"))</f>
        <v>apartment</v>
      </c>
      <c r="P1164">
        <f t="shared" si="18"/>
        <v>0</v>
      </c>
    </row>
    <row r="1165" spans="1:16" ht="15.75" customHeight="1" x14ac:dyDescent="0.35">
      <c r="A1165" s="13">
        <v>1164</v>
      </c>
      <c r="B1165" s="14">
        <v>46030</v>
      </c>
      <c r="C1165" s="15"/>
      <c r="D1165" s="18" t="s">
        <v>32</v>
      </c>
      <c r="E1165" s="17">
        <v>12000</v>
      </c>
      <c r="F1165" s="13">
        <v>180</v>
      </c>
      <c r="G1165" s="13">
        <v>891</v>
      </c>
      <c r="H1165" s="19">
        <v>350000</v>
      </c>
      <c r="I1165" s="19">
        <v>100000</v>
      </c>
      <c r="J1165" s="20" t="s">
        <v>37</v>
      </c>
      <c r="K1165" s="13">
        <v>40</v>
      </c>
      <c r="L1165" s="18" t="s">
        <v>38</v>
      </c>
      <c r="M1165" s="21" t="s">
        <v>48</v>
      </c>
      <c r="N1165" s="18" t="s">
        <v>36</v>
      </c>
      <c r="O1165" t="str">
        <f>IF(TRIM(J1165)="","NULL",IFERROR(VLOOKUP(TRIM(J1165),Lookup_PropertyType!$A:$B,2,FALSE()),"other"))</f>
        <v>house</v>
      </c>
      <c r="P1165">
        <f t="shared" si="18"/>
        <v>0</v>
      </c>
    </row>
    <row r="1166" spans="1:16" ht="15.75" customHeight="1" x14ac:dyDescent="0.35">
      <c r="A1166" s="13">
        <v>1165</v>
      </c>
      <c r="B1166" s="14">
        <v>46027</v>
      </c>
      <c r="C1166" s="15"/>
      <c r="D1166" s="18" t="s">
        <v>44</v>
      </c>
      <c r="E1166" s="17">
        <v>5000</v>
      </c>
      <c r="F1166" s="13">
        <v>180</v>
      </c>
      <c r="G1166" s="13">
        <v>257</v>
      </c>
      <c r="H1166" s="19">
        <v>300000</v>
      </c>
      <c r="I1166" s="19">
        <v>30000</v>
      </c>
      <c r="J1166" s="20" t="s">
        <v>33</v>
      </c>
      <c r="K1166" s="13">
        <v>45</v>
      </c>
      <c r="L1166" s="18" t="s">
        <v>45</v>
      </c>
      <c r="M1166" s="21" t="s">
        <v>54</v>
      </c>
      <c r="N1166" s="16" t="s">
        <v>50</v>
      </c>
      <c r="O1166" t="str">
        <f>IF(TRIM(J1166)="","NULL",IFERROR(VLOOKUP(TRIM(J1166),Lookup_PropertyType!$A:$B,2,FALSE()),"other"))</f>
        <v>apartment</v>
      </c>
      <c r="P1166">
        <f t="shared" si="18"/>
        <v>0</v>
      </c>
    </row>
    <row r="1167" spans="1:16" ht="15.75" customHeight="1" x14ac:dyDescent="0.35">
      <c r="A1167" s="13">
        <v>1166</v>
      </c>
      <c r="B1167" s="14">
        <v>46030</v>
      </c>
      <c r="C1167" s="15"/>
      <c r="D1167" s="18" t="s">
        <v>57</v>
      </c>
      <c r="E1167" s="17">
        <v>50000</v>
      </c>
      <c r="F1167" s="13">
        <v>180</v>
      </c>
      <c r="G1167" s="13">
        <v>704</v>
      </c>
      <c r="H1167" s="19">
        <v>380000</v>
      </c>
      <c r="I1167" s="19">
        <v>100000</v>
      </c>
      <c r="J1167" s="20" t="s">
        <v>33</v>
      </c>
      <c r="K1167" s="13">
        <v>39</v>
      </c>
      <c r="L1167" s="18" t="s">
        <v>38</v>
      </c>
      <c r="M1167" s="21" t="s">
        <v>54</v>
      </c>
      <c r="N1167" s="18" t="s">
        <v>36</v>
      </c>
      <c r="O1167" t="str">
        <f>IF(TRIM(J1167)="","NULL",IFERROR(VLOOKUP(TRIM(J1167),Lookup_PropertyType!$A:$B,2,FALSE()),"other"))</f>
        <v>apartment</v>
      </c>
      <c r="P1167">
        <f t="shared" si="18"/>
        <v>0</v>
      </c>
    </row>
    <row r="1168" spans="1:16" ht="15.75" customHeight="1" x14ac:dyDescent="0.35">
      <c r="A1168" s="13">
        <v>1167</v>
      </c>
      <c r="B1168" s="14">
        <v>46027</v>
      </c>
      <c r="C1168" s="15"/>
      <c r="D1168" s="18" t="s">
        <v>78</v>
      </c>
      <c r="E1168" s="17">
        <v>30000</v>
      </c>
      <c r="F1168" s="18"/>
      <c r="G1168" s="18"/>
      <c r="H1168" s="19">
        <v>800000</v>
      </c>
      <c r="I1168" s="20"/>
      <c r="J1168" s="20" t="s">
        <v>33</v>
      </c>
      <c r="K1168" s="13">
        <v>41</v>
      </c>
      <c r="L1168" s="18"/>
      <c r="M1168" s="18"/>
      <c r="N1168" s="18"/>
      <c r="O1168" t="str">
        <f>IF(TRIM(J1168)="","NULL",IFERROR(VLOOKUP(TRIM(J1168),Lookup_PropertyType!$A:$B,2,FALSE()),"other"))</f>
        <v>apartment</v>
      </c>
      <c r="P1168">
        <f t="shared" si="18"/>
        <v>0</v>
      </c>
    </row>
    <row r="1169" spans="1:16" ht="15.75" customHeight="1" x14ac:dyDescent="0.35">
      <c r="A1169" s="13">
        <v>1168</v>
      </c>
      <c r="B1169" s="14">
        <v>46025</v>
      </c>
      <c r="C1169" s="15"/>
      <c r="D1169" s="18" t="s">
        <v>32</v>
      </c>
      <c r="E1169" s="17">
        <v>15000</v>
      </c>
      <c r="F1169" s="13">
        <v>180</v>
      </c>
      <c r="G1169" s="13">
        <v>705</v>
      </c>
      <c r="H1169" s="19">
        <v>1000000</v>
      </c>
      <c r="I1169" s="19">
        <v>185000</v>
      </c>
      <c r="J1169" s="20" t="s">
        <v>37</v>
      </c>
      <c r="K1169" s="13">
        <v>36</v>
      </c>
      <c r="L1169" s="18" t="s">
        <v>38</v>
      </c>
      <c r="M1169" s="21" t="s">
        <v>39</v>
      </c>
      <c r="N1169" s="18" t="s">
        <v>51</v>
      </c>
      <c r="O1169" t="str">
        <f>IF(TRIM(J1169)="","NULL",IFERROR(VLOOKUP(TRIM(J1169),Lookup_PropertyType!$A:$B,2,FALSE()),"other"))</f>
        <v>house</v>
      </c>
      <c r="P1169">
        <f t="shared" si="18"/>
        <v>0</v>
      </c>
    </row>
    <row r="1170" spans="1:16" ht="15.75" customHeight="1" x14ac:dyDescent="0.35">
      <c r="A1170" s="13">
        <v>1169</v>
      </c>
      <c r="B1170" s="14">
        <v>46020</v>
      </c>
      <c r="C1170" s="15"/>
      <c r="D1170" s="18" t="s">
        <v>58</v>
      </c>
      <c r="E1170" s="17">
        <v>7500</v>
      </c>
      <c r="F1170" s="13">
        <v>180</v>
      </c>
      <c r="G1170" s="13">
        <v>408</v>
      </c>
      <c r="H1170" s="19">
        <v>780000</v>
      </c>
      <c r="I1170" s="19">
        <v>70000</v>
      </c>
      <c r="J1170" s="20" t="s">
        <v>33</v>
      </c>
      <c r="K1170" s="13">
        <v>39</v>
      </c>
      <c r="L1170" s="18" t="s">
        <v>41</v>
      </c>
      <c r="M1170" s="21" t="s">
        <v>67</v>
      </c>
      <c r="N1170" s="18" t="s">
        <v>36</v>
      </c>
      <c r="O1170" t="str">
        <f>IF(TRIM(J1170)="","NULL",IFERROR(VLOOKUP(TRIM(J1170),Lookup_PropertyType!$A:$B,2,FALSE()),"other"))</f>
        <v>apartment</v>
      </c>
      <c r="P1170">
        <f t="shared" si="18"/>
        <v>0</v>
      </c>
    </row>
    <row r="1171" spans="1:16" ht="15.75" customHeight="1" x14ac:dyDescent="0.35">
      <c r="A1171" s="13">
        <v>1170</v>
      </c>
      <c r="B1171" s="14">
        <v>46069</v>
      </c>
      <c r="C1171" s="15"/>
      <c r="D1171" s="18" t="s">
        <v>32</v>
      </c>
      <c r="E1171" s="17">
        <v>6000</v>
      </c>
      <c r="F1171" s="13">
        <v>180</v>
      </c>
      <c r="G1171" s="13">
        <v>988</v>
      </c>
      <c r="H1171" s="19">
        <v>300000</v>
      </c>
      <c r="I1171" s="19">
        <v>35000</v>
      </c>
      <c r="J1171" s="20" t="s">
        <v>37</v>
      </c>
      <c r="K1171" s="13">
        <v>52</v>
      </c>
      <c r="L1171" s="18" t="s">
        <v>45</v>
      </c>
      <c r="M1171" s="18" t="s">
        <v>39</v>
      </c>
      <c r="N1171" s="18" t="s">
        <v>51</v>
      </c>
      <c r="O1171" t="str">
        <f>IF(TRIM(J1171)="","NULL",IFERROR(VLOOKUP(TRIM(J1171),Lookup_PropertyType!$A:$B,2,FALSE()),"other"))</f>
        <v>house</v>
      </c>
      <c r="P1171">
        <f t="shared" si="18"/>
        <v>0</v>
      </c>
    </row>
    <row r="1172" spans="1:16" ht="15.75" customHeight="1" x14ac:dyDescent="0.35">
      <c r="A1172" s="13">
        <v>1171</v>
      </c>
      <c r="B1172" s="14">
        <v>46024</v>
      </c>
      <c r="C1172" s="15"/>
      <c r="D1172" s="18" t="s">
        <v>58</v>
      </c>
      <c r="E1172" s="17">
        <v>10000</v>
      </c>
      <c r="F1172" s="13">
        <v>120</v>
      </c>
      <c r="G1172" s="13">
        <v>455</v>
      </c>
      <c r="H1172" s="19">
        <v>700000</v>
      </c>
      <c r="I1172" s="19">
        <v>70000</v>
      </c>
      <c r="J1172" s="20" t="s">
        <v>33</v>
      </c>
      <c r="K1172" s="13">
        <v>54</v>
      </c>
      <c r="L1172" s="18" t="s">
        <v>45</v>
      </c>
      <c r="M1172" s="21" t="s">
        <v>39</v>
      </c>
      <c r="N1172" s="18" t="s">
        <v>48</v>
      </c>
      <c r="O1172" t="str">
        <f>IF(TRIM(J1172)="","NULL",IFERROR(VLOOKUP(TRIM(J1172),Lookup_PropertyType!$A:$B,2,FALSE()),"other"))</f>
        <v>apartment</v>
      </c>
      <c r="P1172">
        <f t="shared" si="18"/>
        <v>0</v>
      </c>
    </row>
    <row r="1173" spans="1:16" ht="15.75" customHeight="1" x14ac:dyDescent="0.35">
      <c r="A1173" s="13">
        <v>1172</v>
      </c>
      <c r="B1173" s="14">
        <v>46019</v>
      </c>
      <c r="C1173" s="15"/>
      <c r="D1173" s="18" t="s">
        <v>65</v>
      </c>
      <c r="E1173" s="17">
        <v>5000</v>
      </c>
      <c r="F1173" s="13">
        <v>120</v>
      </c>
      <c r="G1173" s="13">
        <v>398</v>
      </c>
      <c r="H1173" s="19">
        <v>350000</v>
      </c>
      <c r="I1173" s="19">
        <v>34000</v>
      </c>
      <c r="J1173" s="20" t="s">
        <v>37</v>
      </c>
      <c r="K1173" s="13">
        <v>44</v>
      </c>
      <c r="L1173" s="18" t="s">
        <v>38</v>
      </c>
      <c r="M1173" s="21" t="s">
        <v>54</v>
      </c>
      <c r="N1173" s="18" t="s">
        <v>42</v>
      </c>
      <c r="O1173" t="str">
        <f>IF(TRIM(J1173)="","NULL",IFERROR(VLOOKUP(TRIM(J1173),Lookup_PropertyType!$A:$B,2,FALSE()),"other"))</f>
        <v>house</v>
      </c>
      <c r="P1173">
        <f t="shared" si="18"/>
        <v>0</v>
      </c>
    </row>
    <row r="1174" spans="1:16" ht="15.75" customHeight="1" x14ac:dyDescent="0.35">
      <c r="A1174" s="13">
        <v>1173</v>
      </c>
      <c r="B1174" s="14">
        <v>46053</v>
      </c>
      <c r="C1174" s="15"/>
      <c r="D1174" s="18" t="s">
        <v>55</v>
      </c>
      <c r="E1174" s="17">
        <v>9000</v>
      </c>
      <c r="F1174" s="13">
        <v>180</v>
      </c>
      <c r="G1174" s="13">
        <v>396</v>
      </c>
      <c r="H1174" s="19">
        <v>250000</v>
      </c>
      <c r="I1174" s="19">
        <v>90000</v>
      </c>
      <c r="J1174" s="20" t="s">
        <v>33</v>
      </c>
      <c r="K1174" s="13">
        <v>57</v>
      </c>
      <c r="L1174" s="18" t="s">
        <v>38</v>
      </c>
      <c r="M1174" s="21" t="s">
        <v>39</v>
      </c>
      <c r="N1174" s="16" t="s">
        <v>50</v>
      </c>
      <c r="O1174" t="str">
        <f>IF(TRIM(J1174)="","NULL",IFERROR(VLOOKUP(TRIM(J1174),Lookup_PropertyType!$A:$B,2,FALSE()),"other"))</f>
        <v>apartment</v>
      </c>
      <c r="P1174">
        <f t="shared" si="18"/>
        <v>0</v>
      </c>
    </row>
    <row r="1175" spans="1:16" ht="15.75" customHeight="1" x14ac:dyDescent="0.35">
      <c r="A1175" s="13">
        <v>1174</v>
      </c>
      <c r="B1175" s="14">
        <v>46020</v>
      </c>
      <c r="C1175" s="15"/>
      <c r="D1175" s="18" t="s">
        <v>32</v>
      </c>
      <c r="E1175" s="17">
        <v>14256</v>
      </c>
      <c r="F1175" s="13">
        <v>180</v>
      </c>
      <c r="G1175" s="13">
        <v>752</v>
      </c>
      <c r="H1175" s="19">
        <v>350000</v>
      </c>
      <c r="I1175" s="19">
        <v>70000</v>
      </c>
      <c r="J1175" s="20" t="s">
        <v>33</v>
      </c>
      <c r="K1175" s="13">
        <v>48</v>
      </c>
      <c r="L1175" s="18" t="s">
        <v>38</v>
      </c>
      <c r="M1175" s="21" t="s">
        <v>39</v>
      </c>
      <c r="N1175" s="18" t="s">
        <v>36</v>
      </c>
      <c r="O1175" t="str">
        <f>IF(TRIM(J1175)="","NULL",IFERROR(VLOOKUP(TRIM(J1175),Lookup_PropertyType!$A:$B,2,FALSE()),"other"))</f>
        <v>apartment</v>
      </c>
      <c r="P1175">
        <f t="shared" si="18"/>
        <v>0</v>
      </c>
    </row>
    <row r="1176" spans="1:16" ht="15.75" customHeight="1" x14ac:dyDescent="0.35">
      <c r="A1176" s="13">
        <v>1175</v>
      </c>
      <c r="B1176" s="14">
        <v>46051</v>
      </c>
      <c r="C1176" s="15"/>
      <c r="D1176" s="18" t="s">
        <v>32</v>
      </c>
      <c r="E1176" s="17">
        <v>6000</v>
      </c>
      <c r="F1176" s="13">
        <v>180</v>
      </c>
      <c r="G1176" s="13">
        <v>544</v>
      </c>
      <c r="H1176" s="19">
        <v>250000</v>
      </c>
      <c r="I1176" s="19">
        <v>74000</v>
      </c>
      <c r="J1176" s="20" t="s">
        <v>33</v>
      </c>
      <c r="K1176" s="13">
        <v>57</v>
      </c>
      <c r="L1176" s="18" t="s">
        <v>38</v>
      </c>
      <c r="M1176" s="21" t="s">
        <v>35</v>
      </c>
      <c r="N1176" s="18" t="s">
        <v>42</v>
      </c>
      <c r="O1176" t="str">
        <f>IF(TRIM(J1176)="","NULL",IFERROR(VLOOKUP(TRIM(J1176),Lookup_PropertyType!$A:$B,2,FALSE()),"other"))</f>
        <v>apartment</v>
      </c>
      <c r="P1176">
        <f t="shared" si="18"/>
        <v>0</v>
      </c>
    </row>
    <row r="1177" spans="1:16" ht="15.75" customHeight="1" x14ac:dyDescent="0.35">
      <c r="A1177" s="13">
        <v>1176</v>
      </c>
      <c r="B1177" s="14">
        <v>46040</v>
      </c>
      <c r="C1177" s="15"/>
      <c r="D1177" s="18" t="s">
        <v>32</v>
      </c>
      <c r="E1177" s="17">
        <v>3100</v>
      </c>
      <c r="F1177" s="13">
        <v>90</v>
      </c>
      <c r="G1177" s="13">
        <v>705</v>
      </c>
      <c r="H1177" s="19">
        <v>650000</v>
      </c>
      <c r="I1177" s="19">
        <v>35000</v>
      </c>
      <c r="J1177" s="20" t="s">
        <v>33</v>
      </c>
      <c r="K1177" s="13">
        <v>58</v>
      </c>
      <c r="L1177" s="18" t="s">
        <v>38</v>
      </c>
      <c r="M1177" s="18" t="s">
        <v>39</v>
      </c>
      <c r="N1177" s="18" t="s">
        <v>48</v>
      </c>
      <c r="O1177" t="str">
        <f>IF(TRIM(J1177)="","NULL",IFERROR(VLOOKUP(TRIM(J1177),Lookup_PropertyType!$A:$B,2,FALSE()),"other"))</f>
        <v>apartment</v>
      </c>
      <c r="P1177">
        <f t="shared" si="18"/>
        <v>0</v>
      </c>
    </row>
    <row r="1178" spans="1:16" ht="15.75" customHeight="1" x14ac:dyDescent="0.35">
      <c r="A1178" s="13">
        <v>1177</v>
      </c>
      <c r="B1178" s="14">
        <v>46030</v>
      </c>
      <c r="C1178" s="14">
        <v>46103</v>
      </c>
      <c r="D1178" s="18" t="s">
        <v>58</v>
      </c>
      <c r="E1178" s="17">
        <v>100000</v>
      </c>
      <c r="F1178" s="13">
        <v>90</v>
      </c>
      <c r="G1178" s="13">
        <v>508</v>
      </c>
      <c r="H1178" s="19">
        <v>8000000</v>
      </c>
      <c r="I1178" s="19">
        <v>1000000</v>
      </c>
      <c r="J1178" s="20" t="s">
        <v>33</v>
      </c>
      <c r="K1178" s="13">
        <v>60</v>
      </c>
      <c r="L1178" s="18" t="s">
        <v>45</v>
      </c>
      <c r="M1178" s="18" t="s">
        <v>35</v>
      </c>
      <c r="N1178" s="18" t="s">
        <v>36</v>
      </c>
      <c r="O1178" t="str">
        <f>IF(TRIM(J1178)="","NULL",IFERROR(VLOOKUP(TRIM(J1178),Lookup_PropertyType!$A:$B,2,FALSE()),"other"))</f>
        <v>apartment</v>
      </c>
      <c r="P1178">
        <f t="shared" si="18"/>
        <v>1</v>
      </c>
    </row>
    <row r="1179" spans="1:16" ht="15.75" customHeight="1" x14ac:dyDescent="0.35">
      <c r="A1179" s="13">
        <v>1178</v>
      </c>
      <c r="B1179" s="14">
        <v>46025</v>
      </c>
      <c r="C1179" s="15"/>
      <c r="D1179" s="18" t="s">
        <v>69</v>
      </c>
      <c r="E1179" s="17">
        <v>15000</v>
      </c>
      <c r="F1179" s="13">
        <v>180</v>
      </c>
      <c r="G1179" s="13">
        <v>907</v>
      </c>
      <c r="H1179" s="19">
        <v>600000</v>
      </c>
      <c r="I1179" s="19">
        <v>100000</v>
      </c>
      <c r="J1179" s="20" t="s">
        <v>33</v>
      </c>
      <c r="K1179" s="13">
        <v>65</v>
      </c>
      <c r="L1179" s="18" t="s">
        <v>45</v>
      </c>
      <c r="M1179" s="21" t="s">
        <v>39</v>
      </c>
      <c r="N1179" s="18" t="s">
        <v>43</v>
      </c>
      <c r="O1179" t="str">
        <f>IF(TRIM(J1179)="","NULL",IFERROR(VLOOKUP(TRIM(J1179),Lookup_PropertyType!$A:$B,2,FALSE()),"other"))</f>
        <v>apartment</v>
      </c>
      <c r="P1179">
        <f t="shared" si="18"/>
        <v>0</v>
      </c>
    </row>
    <row r="1180" spans="1:16" ht="15.75" customHeight="1" x14ac:dyDescent="0.35">
      <c r="A1180" s="13">
        <v>1179</v>
      </c>
      <c r="B1180" s="14">
        <v>46031</v>
      </c>
      <c r="C1180" s="14">
        <v>46081</v>
      </c>
      <c r="D1180" s="18" t="s">
        <v>32</v>
      </c>
      <c r="E1180" s="17">
        <v>5000</v>
      </c>
      <c r="F1180" s="13">
        <v>120</v>
      </c>
      <c r="G1180" s="13">
        <v>956</v>
      </c>
      <c r="H1180" s="19">
        <v>250000</v>
      </c>
      <c r="I1180" s="19">
        <v>60000</v>
      </c>
      <c r="J1180" s="20" t="s">
        <v>37</v>
      </c>
      <c r="K1180" s="13">
        <v>38</v>
      </c>
      <c r="L1180" s="18" t="s">
        <v>41</v>
      </c>
      <c r="M1180" s="21" t="s">
        <v>39</v>
      </c>
      <c r="N1180" s="18" t="s">
        <v>42</v>
      </c>
      <c r="O1180" t="str">
        <f>IF(TRIM(J1180)="","NULL",IFERROR(VLOOKUP(TRIM(J1180),Lookup_PropertyType!$A:$B,2,FALSE()),"other"))</f>
        <v>house</v>
      </c>
      <c r="P1180">
        <f t="shared" si="18"/>
        <v>1</v>
      </c>
    </row>
    <row r="1181" spans="1:16" ht="15.75" customHeight="1" x14ac:dyDescent="0.35">
      <c r="A1181" s="13">
        <v>1180</v>
      </c>
      <c r="B1181" s="14">
        <v>46031</v>
      </c>
      <c r="C1181" s="14">
        <v>46074</v>
      </c>
      <c r="D1181" s="18" t="s">
        <v>32</v>
      </c>
      <c r="E1181" s="17">
        <v>5000</v>
      </c>
      <c r="F1181" s="13">
        <v>180</v>
      </c>
      <c r="G1181" s="13">
        <v>512</v>
      </c>
      <c r="H1181" s="19">
        <v>300000</v>
      </c>
      <c r="I1181" s="19">
        <v>55000</v>
      </c>
      <c r="J1181" s="20" t="s">
        <v>33</v>
      </c>
      <c r="K1181" s="13">
        <v>45</v>
      </c>
      <c r="L1181" s="18" t="s">
        <v>38</v>
      </c>
      <c r="M1181" s="21" t="s">
        <v>39</v>
      </c>
      <c r="N1181" s="18" t="s">
        <v>42</v>
      </c>
      <c r="O1181" t="str">
        <f>IF(TRIM(J1181)="","NULL",IFERROR(VLOOKUP(TRIM(J1181),Lookup_PropertyType!$A:$B,2,FALSE()),"other"))</f>
        <v>apartment</v>
      </c>
      <c r="P1181">
        <f t="shared" si="18"/>
        <v>1</v>
      </c>
    </row>
    <row r="1182" spans="1:16" ht="15.75" customHeight="1" x14ac:dyDescent="0.35">
      <c r="A1182" s="13">
        <v>1181</v>
      </c>
      <c r="B1182" s="14">
        <v>46031</v>
      </c>
      <c r="C1182" s="15"/>
      <c r="D1182" s="18" t="s">
        <v>32</v>
      </c>
      <c r="E1182" s="17">
        <v>14000</v>
      </c>
      <c r="F1182" s="13">
        <v>60</v>
      </c>
      <c r="G1182" s="13">
        <v>915</v>
      </c>
      <c r="H1182" s="19">
        <v>300000</v>
      </c>
      <c r="I1182" s="19">
        <v>50000</v>
      </c>
      <c r="J1182" s="20" t="s">
        <v>33</v>
      </c>
      <c r="K1182" s="13">
        <v>54</v>
      </c>
      <c r="L1182" s="18" t="s">
        <v>41</v>
      </c>
      <c r="M1182" s="21" t="s">
        <v>39</v>
      </c>
      <c r="N1182" s="18" t="s">
        <v>36</v>
      </c>
      <c r="O1182" t="str">
        <f>IF(TRIM(J1182)="","NULL",IFERROR(VLOOKUP(TRIM(J1182),Lookup_PropertyType!$A:$B,2,FALSE()),"other"))</f>
        <v>apartment</v>
      </c>
      <c r="P1182">
        <f t="shared" si="18"/>
        <v>0</v>
      </c>
    </row>
    <row r="1183" spans="1:16" ht="15.75" customHeight="1" x14ac:dyDescent="0.35">
      <c r="A1183" s="13">
        <v>1182</v>
      </c>
      <c r="B1183" s="14">
        <v>46033</v>
      </c>
      <c r="C1183" s="15"/>
      <c r="D1183" s="18" t="s">
        <v>32</v>
      </c>
      <c r="E1183" s="17">
        <v>11000</v>
      </c>
      <c r="F1183" s="13">
        <v>180</v>
      </c>
      <c r="G1183" s="13">
        <v>398</v>
      </c>
      <c r="H1183" s="19">
        <v>600000</v>
      </c>
      <c r="I1183" s="19">
        <v>70000</v>
      </c>
      <c r="J1183" s="20" t="s">
        <v>37</v>
      </c>
      <c r="K1183" s="13">
        <v>49</v>
      </c>
      <c r="L1183" s="18" t="s">
        <v>45</v>
      </c>
      <c r="M1183" s="21" t="s">
        <v>39</v>
      </c>
      <c r="N1183" s="16" t="s">
        <v>50</v>
      </c>
      <c r="O1183" t="str">
        <f>IF(TRIM(J1183)="","NULL",IFERROR(VLOOKUP(TRIM(J1183),Lookup_PropertyType!$A:$B,2,FALSE()),"other"))</f>
        <v>house</v>
      </c>
      <c r="P1183">
        <f t="shared" si="18"/>
        <v>0</v>
      </c>
    </row>
    <row r="1184" spans="1:16" ht="15.75" customHeight="1" x14ac:dyDescent="0.35">
      <c r="A1184" s="13">
        <v>1183</v>
      </c>
      <c r="B1184" s="14">
        <v>46026</v>
      </c>
      <c r="C1184" s="15"/>
      <c r="D1184" s="18" t="s">
        <v>32</v>
      </c>
      <c r="E1184" s="17">
        <v>8000</v>
      </c>
      <c r="F1184" s="13">
        <v>180</v>
      </c>
      <c r="G1184" s="13">
        <v>826</v>
      </c>
      <c r="H1184" s="19">
        <v>250000</v>
      </c>
      <c r="I1184" s="19">
        <v>30000</v>
      </c>
      <c r="J1184" s="20" t="s">
        <v>33</v>
      </c>
      <c r="K1184" s="13">
        <v>42</v>
      </c>
      <c r="L1184" s="18" t="s">
        <v>38</v>
      </c>
      <c r="M1184" s="21" t="s">
        <v>54</v>
      </c>
      <c r="N1184" s="18" t="s">
        <v>42</v>
      </c>
      <c r="O1184" t="str">
        <f>IF(TRIM(J1184)="","NULL",IFERROR(VLOOKUP(TRIM(J1184),Lookup_PropertyType!$A:$B,2,FALSE()),"other"))</f>
        <v>apartment</v>
      </c>
      <c r="P1184">
        <f t="shared" si="18"/>
        <v>0</v>
      </c>
    </row>
    <row r="1185" spans="1:16" ht="15.75" customHeight="1" x14ac:dyDescent="0.35">
      <c r="A1185" s="13">
        <v>1184</v>
      </c>
      <c r="B1185" s="14">
        <v>46027</v>
      </c>
      <c r="C1185" s="15"/>
      <c r="D1185" s="18" t="s">
        <v>44</v>
      </c>
      <c r="E1185" s="17">
        <v>10000</v>
      </c>
      <c r="F1185" s="13">
        <v>180</v>
      </c>
      <c r="G1185" s="13">
        <v>596</v>
      </c>
      <c r="H1185" s="19">
        <v>500000</v>
      </c>
      <c r="I1185" s="19">
        <v>100000</v>
      </c>
      <c r="J1185" s="20" t="s">
        <v>33</v>
      </c>
      <c r="K1185" s="13">
        <v>49</v>
      </c>
      <c r="L1185" s="18" t="s">
        <v>59</v>
      </c>
      <c r="M1185" s="21" t="s">
        <v>39</v>
      </c>
      <c r="N1185" s="16" t="s">
        <v>50</v>
      </c>
      <c r="O1185" t="str">
        <f>IF(TRIM(J1185)="","NULL",IFERROR(VLOOKUP(TRIM(J1185),Lookup_PropertyType!$A:$B,2,FALSE()),"other"))</f>
        <v>apartment</v>
      </c>
      <c r="P1185">
        <f t="shared" si="18"/>
        <v>0</v>
      </c>
    </row>
    <row r="1186" spans="1:16" ht="15.75" customHeight="1" x14ac:dyDescent="0.35">
      <c r="A1186" s="13">
        <v>1185</v>
      </c>
      <c r="B1186" s="14">
        <v>46030</v>
      </c>
      <c r="C1186" s="15"/>
      <c r="D1186" s="18" t="s">
        <v>49</v>
      </c>
      <c r="E1186" s="17">
        <v>3000</v>
      </c>
      <c r="F1186" s="13">
        <v>120</v>
      </c>
      <c r="G1186" s="13">
        <v>952</v>
      </c>
      <c r="H1186" s="19">
        <v>500000</v>
      </c>
      <c r="I1186" s="19">
        <v>40000</v>
      </c>
      <c r="J1186" s="20" t="s">
        <v>33</v>
      </c>
      <c r="K1186" s="13">
        <v>59</v>
      </c>
      <c r="L1186" s="18" t="s">
        <v>38</v>
      </c>
      <c r="M1186" s="21" t="s">
        <v>48</v>
      </c>
      <c r="N1186" s="18" t="s">
        <v>36</v>
      </c>
      <c r="O1186" t="str">
        <f>IF(TRIM(J1186)="","NULL",IFERROR(VLOOKUP(TRIM(J1186),Lookup_PropertyType!$A:$B,2,FALSE()),"other"))</f>
        <v>apartment</v>
      </c>
      <c r="P1186">
        <f t="shared" si="18"/>
        <v>0</v>
      </c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34998626667073579"/>
  </sheetPr>
  <dimension ref="B2:E997"/>
  <sheetViews>
    <sheetView zoomScaleNormal="100" workbookViewId="0">
      <selection activeCell="G5" sqref="G5"/>
    </sheetView>
  </sheetViews>
  <sheetFormatPr defaultColWidth="12.6328125" defaultRowHeight="15" customHeight="1" x14ac:dyDescent="0.25"/>
  <cols>
    <col min="1" max="1" width="4" customWidth="1"/>
    <col min="2" max="2" width="12" customWidth="1"/>
    <col min="3" max="3" width="16" customWidth="1"/>
    <col min="4" max="5" width="45" customWidth="1"/>
    <col min="6" max="26" width="8.6328125" customWidth="1"/>
  </cols>
  <sheetData>
    <row r="2" spans="2:5" ht="17.25" customHeight="1" x14ac:dyDescent="0.4">
      <c r="B2" s="23" t="s">
        <v>120</v>
      </c>
    </row>
    <row r="3" spans="2:5" ht="45" customHeight="1" x14ac:dyDescent="0.3">
      <c r="B3" s="26" t="s">
        <v>121</v>
      </c>
      <c r="C3" s="26"/>
      <c r="D3" s="26"/>
      <c r="E3" s="26"/>
    </row>
    <row r="5" spans="2:5" ht="21.75" customHeight="1" x14ac:dyDescent="0.3">
      <c r="B5" s="24" t="s">
        <v>122</v>
      </c>
      <c r="C5" s="24" t="s">
        <v>123</v>
      </c>
      <c r="D5" s="24" t="s">
        <v>124</v>
      </c>
      <c r="E5" s="24" t="s">
        <v>125</v>
      </c>
    </row>
    <row r="6" spans="2:5" ht="54.75" customHeight="1" x14ac:dyDescent="0.25">
      <c r="B6" s="25" t="s">
        <v>126</v>
      </c>
      <c r="C6" s="25" t="s">
        <v>127</v>
      </c>
      <c r="D6" s="25" t="s">
        <v>128</v>
      </c>
      <c r="E6" s="25" t="s">
        <v>129</v>
      </c>
    </row>
    <row r="7" spans="2:5" ht="54.75" customHeight="1" x14ac:dyDescent="0.25">
      <c r="B7" s="25" t="s">
        <v>130</v>
      </c>
      <c r="C7" s="25" t="s">
        <v>127</v>
      </c>
      <c r="D7" s="25" t="s">
        <v>131</v>
      </c>
      <c r="E7" s="25" t="s">
        <v>132</v>
      </c>
    </row>
    <row r="8" spans="2:5" ht="54.75" customHeight="1" x14ac:dyDescent="0.25">
      <c r="B8" s="25" t="s">
        <v>133</v>
      </c>
      <c r="C8" s="25" t="s">
        <v>127</v>
      </c>
      <c r="D8" s="25" t="s">
        <v>134</v>
      </c>
      <c r="E8" s="25" t="s">
        <v>135</v>
      </c>
    </row>
    <row r="9" spans="2:5" ht="54.75" customHeight="1" x14ac:dyDescent="0.25">
      <c r="B9" s="25" t="s">
        <v>136</v>
      </c>
      <c r="C9" s="25" t="s">
        <v>127</v>
      </c>
      <c r="D9" s="25" t="s">
        <v>137</v>
      </c>
      <c r="E9" s="25" t="s">
        <v>138</v>
      </c>
    </row>
    <row r="10" spans="2:5" ht="54.75" customHeight="1" x14ac:dyDescent="0.25">
      <c r="B10" s="25" t="s">
        <v>139</v>
      </c>
      <c r="C10" s="25" t="s">
        <v>127</v>
      </c>
      <c r="D10" s="25" t="s">
        <v>140</v>
      </c>
      <c r="E10" s="25" t="s">
        <v>141</v>
      </c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1">
    <mergeCell ref="B3:E3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Questions</vt:lpstr>
      <vt:lpstr>Q1 - Summary</vt:lpstr>
      <vt:lpstr>Q2 - Canal</vt:lpstr>
      <vt:lpstr>Q3</vt:lpstr>
      <vt:lpstr>Q4 - Qualidade de Dados</vt:lpstr>
      <vt:lpstr>Cálculos</vt:lpstr>
      <vt:lpstr>Lookup_PropertyType</vt:lpstr>
      <vt:lpstr>DataBase</vt:lpstr>
      <vt:lpstr>AI_Log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Ozores</cp:lastModifiedBy>
  <cp:revision>0</cp:revision>
  <dcterms:created xsi:type="dcterms:W3CDTF">2026-09-22T18:03:50Z</dcterms:created>
  <dcterms:modified xsi:type="dcterms:W3CDTF">2026-09-23T17:38:39Z</dcterms:modified>
  <dc:language>en-US</dc:language>
</cp:coreProperties>
</file>